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codeName="ThisWorkbook" defaultThemeVersion="166925"/>
  <mc:AlternateContent xmlns:mc="http://schemas.openxmlformats.org/markup-compatibility/2006">
    <mc:Choice Requires="x15">
      <x15ac:absPath xmlns:x15ac="http://schemas.microsoft.com/office/spreadsheetml/2010/11/ac" url="C:\Users\Gebruiker\Documents\credit risk modelling\"/>
    </mc:Choice>
  </mc:AlternateContent>
  <bookViews>
    <workbookView xWindow="0" yWindow="0" windowWidth="24000" windowHeight="9510"/>
  </bookViews>
  <sheets>
    <sheet name="building data set" sheetId="1" r:id="rId1"/>
    <sheet name="regression" sheetId="2" r:id="rId2"/>
    <sheet name="transformed reg." sheetId="3" r:id="rId3"/>
    <sheet name="backtesting_predictions" sheetId="4" r:id="rId4"/>
  </sheets>
  <functionGroups builtInGroupCount="19"/>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31" i="4" l="1"/>
  <c r="M31" i="4"/>
  <c r="A2" i="4"/>
  <c r="B2" i="4"/>
  <c r="C2" i="4"/>
  <c r="D2" i="4"/>
  <c r="E2" i="4"/>
  <c r="N10" i="4" s="1"/>
  <c r="F2" i="4"/>
  <c r="G2" i="4"/>
  <c r="H2" i="4"/>
  <c r="A3" i="4"/>
  <c r="B3" i="4"/>
  <c r="C3" i="4"/>
  <c r="D3" i="4"/>
  <c r="E3" i="4"/>
  <c r="F3" i="4"/>
  <c r="G3" i="4"/>
  <c r="H3" i="4"/>
  <c r="A4" i="4"/>
  <c r="B4" i="4"/>
  <c r="C4" i="4"/>
  <c r="D4" i="4"/>
  <c r="E4" i="4"/>
  <c r="F4" i="4"/>
  <c r="G4" i="4"/>
  <c r="H4" i="4"/>
  <c r="A5" i="4"/>
  <c r="B5" i="4"/>
  <c r="C5" i="4"/>
  <c r="D5" i="4"/>
  <c r="E5" i="4"/>
  <c r="F5" i="4"/>
  <c r="G5" i="4"/>
  <c r="H5" i="4"/>
  <c r="A6" i="4"/>
  <c r="B6" i="4"/>
  <c r="C6" i="4"/>
  <c r="D6" i="4"/>
  <c r="E6" i="4"/>
  <c r="F6" i="4"/>
  <c r="G6" i="4"/>
  <c r="H6" i="4"/>
  <c r="A7" i="4"/>
  <c r="B7" i="4"/>
  <c r="C7" i="4"/>
  <c r="D7" i="4"/>
  <c r="E7" i="4"/>
  <c r="F7" i="4"/>
  <c r="G7" i="4"/>
  <c r="H7" i="4"/>
  <c r="A8" i="4"/>
  <c r="B8" i="4"/>
  <c r="C8" i="4"/>
  <c r="D8" i="4"/>
  <c r="E8" i="4"/>
  <c r="F8" i="4"/>
  <c r="G8" i="4"/>
  <c r="H8" i="4"/>
  <c r="A9" i="4"/>
  <c r="B9" i="4"/>
  <c r="C9" i="4"/>
  <c r="D9" i="4"/>
  <c r="E9" i="4"/>
  <c r="F9" i="4"/>
  <c r="G9" i="4"/>
  <c r="H9" i="4"/>
  <c r="A10" i="4"/>
  <c r="B10" i="4"/>
  <c r="C10" i="4"/>
  <c r="D10" i="4"/>
  <c r="E10" i="4"/>
  <c r="F10" i="4"/>
  <c r="G10" i="4"/>
  <c r="H10" i="4"/>
  <c r="A11" i="4"/>
  <c r="B11" i="4"/>
  <c r="C11" i="4"/>
  <c r="D11" i="4"/>
  <c r="E11" i="4"/>
  <c r="F11" i="4"/>
  <c r="G11" i="4"/>
  <c r="H11" i="4"/>
  <c r="A12" i="4"/>
  <c r="B12" i="4"/>
  <c r="C12" i="4"/>
  <c r="D12" i="4"/>
  <c r="E12" i="4"/>
  <c r="F12" i="4"/>
  <c r="G12" i="4"/>
  <c r="H12" i="4"/>
  <c r="A13" i="4"/>
  <c r="B13" i="4"/>
  <c r="C13" i="4"/>
  <c r="D13" i="4"/>
  <c r="E13" i="4"/>
  <c r="F13" i="4"/>
  <c r="G13" i="4"/>
  <c r="H13" i="4"/>
  <c r="A14" i="4"/>
  <c r="B14" i="4"/>
  <c r="C14" i="4"/>
  <c r="D14" i="4"/>
  <c r="E14" i="4"/>
  <c r="F14" i="4"/>
  <c r="G14" i="4"/>
  <c r="H14" i="4"/>
  <c r="A15" i="4"/>
  <c r="B15" i="4"/>
  <c r="C15" i="4"/>
  <c r="D15" i="4"/>
  <c r="E15" i="4"/>
  <c r="F15" i="4"/>
  <c r="G15" i="4"/>
  <c r="H15" i="4"/>
  <c r="A16" i="4"/>
  <c r="B16" i="4"/>
  <c r="C16" i="4"/>
  <c r="D16" i="4"/>
  <c r="E16" i="4"/>
  <c r="F16" i="4"/>
  <c r="G16" i="4"/>
  <c r="H16" i="4"/>
  <c r="A17" i="4"/>
  <c r="B17" i="4"/>
  <c r="C17" i="4"/>
  <c r="D17" i="4"/>
  <c r="E17" i="4"/>
  <c r="F17" i="4"/>
  <c r="G17" i="4"/>
  <c r="H17" i="4"/>
  <c r="A18" i="4"/>
  <c r="B18" i="4"/>
  <c r="C18" i="4"/>
  <c r="D18" i="4"/>
  <c r="E18" i="4"/>
  <c r="F18" i="4"/>
  <c r="G18" i="4"/>
  <c r="H18" i="4"/>
  <c r="A19" i="4"/>
  <c r="B19" i="4"/>
  <c r="C19" i="4"/>
  <c r="D19" i="4"/>
  <c r="E19" i="4"/>
  <c r="F19" i="4"/>
  <c r="G19" i="4"/>
  <c r="H19" i="4"/>
  <c r="A20" i="4"/>
  <c r="B20" i="4"/>
  <c r="C20" i="4"/>
  <c r="D20" i="4"/>
  <c r="E20" i="4"/>
  <c r="F20" i="4"/>
  <c r="G20" i="4"/>
  <c r="H20" i="4"/>
  <c r="A21" i="4"/>
  <c r="B21" i="4"/>
  <c r="C21" i="4"/>
  <c r="D21" i="4"/>
  <c r="E21" i="4"/>
  <c r="F21" i="4"/>
  <c r="G21" i="4"/>
  <c r="H21" i="4"/>
  <c r="A22" i="4"/>
  <c r="B22" i="4"/>
  <c r="C22" i="4"/>
  <c r="D22" i="4"/>
  <c r="E22" i="4"/>
  <c r="F22" i="4"/>
  <c r="G22" i="4"/>
  <c r="H22" i="4"/>
  <c r="A23" i="4"/>
  <c r="B23" i="4"/>
  <c r="C23" i="4"/>
  <c r="D23" i="4"/>
  <c r="E23" i="4"/>
  <c r="F23" i="4"/>
  <c r="G23" i="4"/>
  <c r="H23" i="4"/>
  <c r="A24" i="4"/>
  <c r="B24" i="4"/>
  <c r="C24" i="4"/>
  <c r="D24" i="4"/>
  <c r="E24" i="4"/>
  <c r="F24" i="4"/>
  <c r="G24" i="4"/>
  <c r="H24" i="4"/>
  <c r="A25" i="4"/>
  <c r="B25" i="4"/>
  <c r="C25" i="4"/>
  <c r="D25" i="4"/>
  <c r="E25" i="4"/>
  <c r="F25" i="4"/>
  <c r="G25" i="4"/>
  <c r="H25" i="4"/>
  <c r="A26" i="4"/>
  <c r="B26" i="4"/>
  <c r="C26" i="4"/>
  <c r="D26" i="4"/>
  <c r="E26" i="4"/>
  <c r="F26" i="4"/>
  <c r="G26" i="4"/>
  <c r="H26" i="4"/>
  <c r="A27" i="4"/>
  <c r="B27" i="4"/>
  <c r="C27" i="4"/>
  <c r="D27" i="4"/>
  <c r="E27" i="4"/>
  <c r="F27" i="4"/>
  <c r="G27" i="4"/>
  <c r="H27" i="4"/>
  <c r="A28" i="4"/>
  <c r="B28" i="4"/>
  <c r="C28" i="4"/>
  <c r="D28" i="4"/>
  <c r="E28" i="4"/>
  <c r="F28" i="4"/>
  <c r="G28" i="4"/>
  <c r="H28" i="4"/>
  <c r="A29" i="4"/>
  <c r="B29" i="4"/>
  <c r="C29" i="4"/>
  <c r="D29" i="4"/>
  <c r="E29" i="4"/>
  <c r="F29" i="4"/>
  <c r="G29" i="4"/>
  <c r="H29" i="4"/>
  <c r="A30" i="4"/>
  <c r="B30" i="4"/>
  <c r="C30" i="4"/>
  <c r="D30" i="4"/>
  <c r="E30" i="4"/>
  <c r="F30" i="4"/>
  <c r="G30" i="4"/>
  <c r="H30" i="4"/>
  <c r="A31" i="4"/>
  <c r="B31" i="4"/>
  <c r="C31" i="4"/>
  <c r="D31" i="4"/>
  <c r="E31" i="4"/>
  <c r="F31" i="4"/>
  <c r="G31" i="4"/>
  <c r="H31" i="4"/>
  <c r="A32" i="4"/>
  <c r="B32" i="4"/>
  <c r="C32" i="4"/>
  <c r="D32" i="4"/>
  <c r="E32" i="4"/>
  <c r="F32" i="4"/>
  <c r="G32" i="4"/>
  <c r="H32" i="4"/>
  <c r="A33" i="4"/>
  <c r="B33" i="4"/>
  <c r="C33" i="4"/>
  <c r="D33" i="4"/>
  <c r="E33" i="4"/>
  <c r="F33" i="4"/>
  <c r="G33" i="4"/>
  <c r="H33" i="4"/>
  <c r="A34" i="4"/>
  <c r="B34" i="4"/>
  <c r="C34" i="4"/>
  <c r="D34" i="4"/>
  <c r="E34" i="4"/>
  <c r="F34" i="4"/>
  <c r="G34" i="4"/>
  <c r="H34" i="4"/>
  <c r="A35" i="4"/>
  <c r="B35" i="4"/>
  <c r="C35" i="4"/>
  <c r="D35" i="4"/>
  <c r="E35" i="4"/>
  <c r="F35" i="4"/>
  <c r="G35" i="4"/>
  <c r="H35" i="4"/>
  <c r="A36" i="4"/>
  <c r="B36" i="4"/>
  <c r="C36" i="4"/>
  <c r="D36" i="4"/>
  <c r="E36" i="4"/>
  <c r="F36" i="4"/>
  <c r="G36" i="4"/>
  <c r="H36" i="4"/>
  <c r="A37" i="4"/>
  <c r="B37" i="4"/>
  <c r="C37" i="4"/>
  <c r="D37" i="4"/>
  <c r="E37" i="4"/>
  <c r="F37" i="4"/>
  <c r="G37" i="4"/>
  <c r="H37" i="4"/>
  <c r="A38" i="4"/>
  <c r="B38" i="4"/>
  <c r="C38" i="4"/>
  <c r="D38" i="4"/>
  <c r="E38" i="4"/>
  <c r="F38" i="4"/>
  <c r="G38" i="4"/>
  <c r="H38" i="4"/>
  <c r="A39" i="4"/>
  <c r="B39" i="4"/>
  <c r="C39" i="4"/>
  <c r="D39" i="4"/>
  <c r="E39" i="4"/>
  <c r="F39" i="4"/>
  <c r="G39" i="4"/>
  <c r="H39" i="4"/>
  <c r="A40" i="4"/>
  <c r="B40" i="4"/>
  <c r="C40" i="4"/>
  <c r="D40" i="4"/>
  <c r="E40" i="4"/>
  <c r="F40" i="4"/>
  <c r="G40" i="4"/>
  <c r="H40" i="4"/>
  <c r="A41" i="4"/>
  <c r="B41" i="4"/>
  <c r="C41" i="4"/>
  <c r="D41" i="4"/>
  <c r="E41" i="4"/>
  <c r="F41" i="4"/>
  <c r="G41" i="4"/>
  <c r="H41" i="4"/>
  <c r="A42" i="4"/>
  <c r="B42" i="4"/>
  <c r="C42" i="4"/>
  <c r="D42" i="4"/>
  <c r="E42" i="4"/>
  <c r="F42" i="4"/>
  <c r="G42" i="4"/>
  <c r="H42" i="4"/>
  <c r="A43" i="4"/>
  <c r="B43" i="4"/>
  <c r="C43" i="4"/>
  <c r="D43" i="4"/>
  <c r="E43" i="4"/>
  <c r="F43" i="4"/>
  <c r="G43" i="4"/>
  <c r="H43" i="4"/>
  <c r="A44" i="4"/>
  <c r="B44" i="4"/>
  <c r="C44" i="4"/>
  <c r="D44" i="4"/>
  <c r="E44" i="4"/>
  <c r="F44" i="4"/>
  <c r="G44" i="4"/>
  <c r="H44" i="4"/>
  <c r="A45" i="4"/>
  <c r="B45" i="4"/>
  <c r="C45" i="4"/>
  <c r="D45" i="4"/>
  <c r="E45" i="4"/>
  <c r="F45" i="4"/>
  <c r="G45" i="4"/>
  <c r="H45" i="4"/>
  <c r="A46" i="4"/>
  <c r="B46" i="4"/>
  <c r="C46" i="4"/>
  <c r="D46" i="4"/>
  <c r="E46" i="4"/>
  <c r="F46" i="4"/>
  <c r="G46" i="4"/>
  <c r="H46" i="4"/>
  <c r="A47" i="4"/>
  <c r="B47" i="4"/>
  <c r="C47" i="4"/>
  <c r="D47" i="4"/>
  <c r="E47" i="4"/>
  <c r="F47" i="4"/>
  <c r="G47" i="4"/>
  <c r="H47" i="4"/>
  <c r="A48" i="4"/>
  <c r="B48" i="4"/>
  <c r="C48" i="4"/>
  <c r="D48" i="4"/>
  <c r="E48" i="4"/>
  <c r="F48" i="4"/>
  <c r="G48" i="4"/>
  <c r="H48" i="4"/>
  <c r="A49" i="4"/>
  <c r="B49" i="4"/>
  <c r="C49" i="4"/>
  <c r="D49" i="4"/>
  <c r="E49" i="4"/>
  <c r="F49" i="4"/>
  <c r="G49" i="4"/>
  <c r="H49" i="4"/>
  <c r="A50" i="4"/>
  <c r="B50" i="4"/>
  <c r="C50" i="4"/>
  <c r="D50" i="4"/>
  <c r="E50" i="4"/>
  <c r="F50" i="4"/>
  <c r="G50" i="4"/>
  <c r="H50" i="4"/>
  <c r="A51" i="4"/>
  <c r="B51" i="4"/>
  <c r="C51" i="4"/>
  <c r="D51" i="4"/>
  <c r="E51" i="4"/>
  <c r="F51" i="4"/>
  <c r="G51" i="4"/>
  <c r="H51" i="4"/>
  <c r="A52" i="4"/>
  <c r="B52" i="4"/>
  <c r="C52" i="4"/>
  <c r="D52" i="4"/>
  <c r="E52" i="4"/>
  <c r="F52" i="4"/>
  <c r="G52" i="4"/>
  <c r="H52" i="4"/>
  <c r="A53" i="4"/>
  <c r="B53" i="4"/>
  <c r="C53" i="4"/>
  <c r="D53" i="4"/>
  <c r="E53" i="4"/>
  <c r="F53" i="4"/>
  <c r="G53" i="4"/>
  <c r="H53" i="4"/>
  <c r="A54" i="4"/>
  <c r="B54" i="4"/>
  <c r="C54" i="4"/>
  <c r="D54" i="4"/>
  <c r="E54" i="4"/>
  <c r="F54" i="4"/>
  <c r="G54" i="4"/>
  <c r="H54" i="4"/>
  <c r="A55" i="4"/>
  <c r="B55" i="4"/>
  <c r="C55" i="4"/>
  <c r="D55" i="4"/>
  <c r="E55" i="4"/>
  <c r="F55" i="4"/>
  <c r="G55" i="4"/>
  <c r="H55" i="4"/>
  <c r="A56" i="4"/>
  <c r="B56" i="4"/>
  <c r="C56" i="4"/>
  <c r="D56" i="4"/>
  <c r="E56" i="4"/>
  <c r="F56" i="4"/>
  <c r="G56" i="4"/>
  <c r="H56" i="4"/>
  <c r="A57" i="4"/>
  <c r="B57" i="4"/>
  <c r="C57" i="4"/>
  <c r="D57" i="4"/>
  <c r="E57" i="4"/>
  <c r="F57" i="4"/>
  <c r="G57" i="4"/>
  <c r="H57" i="4"/>
  <c r="A58" i="4"/>
  <c r="B58" i="4"/>
  <c r="C58" i="4"/>
  <c r="D58" i="4"/>
  <c r="E58" i="4"/>
  <c r="F58" i="4"/>
  <c r="G58" i="4"/>
  <c r="H58" i="4"/>
  <c r="A59" i="4"/>
  <c r="B59" i="4"/>
  <c r="C59" i="4"/>
  <c r="D59" i="4"/>
  <c r="E59" i="4"/>
  <c r="F59" i="4"/>
  <c r="G59" i="4"/>
  <c r="H59" i="4"/>
  <c r="A60" i="4"/>
  <c r="B60" i="4"/>
  <c r="C60" i="4"/>
  <c r="D60" i="4"/>
  <c r="E60" i="4"/>
  <c r="F60" i="4"/>
  <c r="G60" i="4"/>
  <c r="H60" i="4"/>
  <c r="A61" i="4"/>
  <c r="B61" i="4"/>
  <c r="C61" i="4"/>
  <c r="D61" i="4"/>
  <c r="E61" i="4"/>
  <c r="F61" i="4"/>
  <c r="G61" i="4"/>
  <c r="H61" i="4"/>
  <c r="A62" i="4"/>
  <c r="B62" i="4"/>
  <c r="C62" i="4"/>
  <c r="D62" i="4"/>
  <c r="E62" i="4"/>
  <c r="F62" i="4"/>
  <c r="G62" i="4"/>
  <c r="H62" i="4"/>
  <c r="A63" i="4"/>
  <c r="B63" i="4"/>
  <c r="C63" i="4"/>
  <c r="D63" i="4"/>
  <c r="E63" i="4"/>
  <c r="F63" i="4"/>
  <c r="G63" i="4"/>
  <c r="H63" i="4"/>
  <c r="A64" i="4"/>
  <c r="B64" i="4"/>
  <c r="C64" i="4"/>
  <c r="D64" i="4"/>
  <c r="E64" i="4"/>
  <c r="F64" i="4"/>
  <c r="G64" i="4"/>
  <c r="H64" i="4"/>
  <c r="A65" i="4"/>
  <c r="B65" i="4"/>
  <c r="C65" i="4"/>
  <c r="D65" i="4"/>
  <c r="E65" i="4"/>
  <c r="F65" i="4"/>
  <c r="G65" i="4"/>
  <c r="H65" i="4"/>
  <c r="A66" i="4"/>
  <c r="B66" i="4"/>
  <c r="C66" i="4"/>
  <c r="D66" i="4"/>
  <c r="E66" i="4"/>
  <c r="F66" i="4"/>
  <c r="G66" i="4"/>
  <c r="H66" i="4"/>
  <c r="A67" i="4"/>
  <c r="B67" i="4"/>
  <c r="C67" i="4"/>
  <c r="D67" i="4"/>
  <c r="E67" i="4"/>
  <c r="F67" i="4"/>
  <c r="G67" i="4"/>
  <c r="H67" i="4"/>
  <c r="A68" i="4"/>
  <c r="B68" i="4"/>
  <c r="C68" i="4"/>
  <c r="D68" i="4"/>
  <c r="E68" i="4"/>
  <c r="F68" i="4"/>
  <c r="G68" i="4"/>
  <c r="H68" i="4"/>
  <c r="A69" i="4"/>
  <c r="B69" i="4"/>
  <c r="C69" i="4"/>
  <c r="D69" i="4"/>
  <c r="E69" i="4"/>
  <c r="F69" i="4"/>
  <c r="G69" i="4"/>
  <c r="H69" i="4"/>
  <c r="A70" i="4"/>
  <c r="B70" i="4"/>
  <c r="C70" i="4"/>
  <c r="D70" i="4"/>
  <c r="E70" i="4"/>
  <c r="F70" i="4"/>
  <c r="G70" i="4"/>
  <c r="H70" i="4"/>
  <c r="A71" i="4"/>
  <c r="B71" i="4"/>
  <c r="C71" i="4"/>
  <c r="D71" i="4"/>
  <c r="E71" i="4"/>
  <c r="F71" i="4"/>
  <c r="G71" i="4"/>
  <c r="H71" i="4"/>
  <c r="A72" i="4"/>
  <c r="B72" i="4"/>
  <c r="C72" i="4"/>
  <c r="D72" i="4"/>
  <c r="E72" i="4"/>
  <c r="F72" i="4"/>
  <c r="G72" i="4"/>
  <c r="H72" i="4"/>
  <c r="A73" i="4"/>
  <c r="B73" i="4"/>
  <c r="C73" i="4"/>
  <c r="D73" i="4"/>
  <c r="E73" i="4"/>
  <c r="F73" i="4"/>
  <c r="G73" i="4"/>
  <c r="H73" i="4"/>
  <c r="A74" i="4"/>
  <c r="B74" i="4"/>
  <c r="C74" i="4"/>
  <c r="D74" i="4"/>
  <c r="E74" i="4"/>
  <c r="F74" i="4"/>
  <c r="G74" i="4"/>
  <c r="H74" i="4"/>
  <c r="A75" i="4"/>
  <c r="B75" i="4"/>
  <c r="C75" i="4"/>
  <c r="D75" i="4"/>
  <c r="E75" i="4"/>
  <c r="F75" i="4"/>
  <c r="G75" i="4"/>
  <c r="H75" i="4"/>
  <c r="A76" i="4"/>
  <c r="B76" i="4"/>
  <c r="C76" i="4"/>
  <c r="D76" i="4"/>
  <c r="E76" i="4"/>
  <c r="F76" i="4"/>
  <c r="G76" i="4"/>
  <c r="H76" i="4"/>
  <c r="A77" i="4"/>
  <c r="B77" i="4"/>
  <c r="C77" i="4"/>
  <c r="D77" i="4"/>
  <c r="E77" i="4"/>
  <c r="F77" i="4"/>
  <c r="G77" i="4"/>
  <c r="H77" i="4"/>
  <c r="A78" i="4"/>
  <c r="B78" i="4"/>
  <c r="C78" i="4"/>
  <c r="D78" i="4"/>
  <c r="E78" i="4"/>
  <c r="F78" i="4"/>
  <c r="G78" i="4"/>
  <c r="H78" i="4"/>
  <c r="A79" i="4"/>
  <c r="B79" i="4"/>
  <c r="C79" i="4"/>
  <c r="D79" i="4"/>
  <c r="E79" i="4"/>
  <c r="F79" i="4"/>
  <c r="G79" i="4"/>
  <c r="H79" i="4"/>
  <c r="A80" i="4"/>
  <c r="B80" i="4"/>
  <c r="C80" i="4"/>
  <c r="D80" i="4"/>
  <c r="E80" i="4"/>
  <c r="F80" i="4"/>
  <c r="G80" i="4"/>
  <c r="H80" i="4"/>
  <c r="A81" i="4"/>
  <c r="B81" i="4"/>
  <c r="C81" i="4"/>
  <c r="D81" i="4"/>
  <c r="E81" i="4"/>
  <c r="F81" i="4"/>
  <c r="G81" i="4"/>
  <c r="H81" i="4"/>
  <c r="A82" i="4"/>
  <c r="B82" i="4"/>
  <c r="C82" i="4"/>
  <c r="D82" i="4"/>
  <c r="E82" i="4"/>
  <c r="F82" i="4"/>
  <c r="G82" i="4"/>
  <c r="H82" i="4"/>
  <c r="A83" i="4"/>
  <c r="B83" i="4"/>
  <c r="C83" i="4"/>
  <c r="D83" i="4"/>
  <c r="E83" i="4"/>
  <c r="F83" i="4"/>
  <c r="G83" i="4"/>
  <c r="H83" i="4"/>
  <c r="A84" i="4"/>
  <c r="B84" i="4"/>
  <c r="C84" i="4"/>
  <c r="D84" i="4"/>
  <c r="E84" i="4"/>
  <c r="F84" i="4"/>
  <c r="G84" i="4"/>
  <c r="H84" i="4"/>
  <c r="A85" i="4"/>
  <c r="B85" i="4"/>
  <c r="C85" i="4"/>
  <c r="D85" i="4"/>
  <c r="E85" i="4"/>
  <c r="F85" i="4"/>
  <c r="G85" i="4"/>
  <c r="H85" i="4"/>
  <c r="A86" i="4"/>
  <c r="B86" i="4"/>
  <c r="C86" i="4"/>
  <c r="D86" i="4"/>
  <c r="E86" i="4"/>
  <c r="F86" i="4"/>
  <c r="G86" i="4"/>
  <c r="H86" i="4"/>
  <c r="A87" i="4"/>
  <c r="B87" i="4"/>
  <c r="C87" i="4"/>
  <c r="D87" i="4"/>
  <c r="E87" i="4"/>
  <c r="F87" i="4"/>
  <c r="G87" i="4"/>
  <c r="H87" i="4"/>
  <c r="A88" i="4"/>
  <c r="B88" i="4"/>
  <c r="C88" i="4"/>
  <c r="D88" i="4"/>
  <c r="E88" i="4"/>
  <c r="F88" i="4"/>
  <c r="G88" i="4"/>
  <c r="H88" i="4"/>
  <c r="A89" i="4"/>
  <c r="B89" i="4"/>
  <c r="C89" i="4"/>
  <c r="D89" i="4"/>
  <c r="E89" i="4"/>
  <c r="F89" i="4"/>
  <c r="G89" i="4"/>
  <c r="H89" i="4"/>
  <c r="A90" i="4"/>
  <c r="B90" i="4"/>
  <c r="C90" i="4"/>
  <c r="D90" i="4"/>
  <c r="E90" i="4"/>
  <c r="F90" i="4"/>
  <c r="G90" i="4"/>
  <c r="H90" i="4"/>
  <c r="A91" i="4"/>
  <c r="B91" i="4"/>
  <c r="C91" i="4"/>
  <c r="D91" i="4"/>
  <c r="E91" i="4"/>
  <c r="F91" i="4"/>
  <c r="G91" i="4"/>
  <c r="H91" i="4"/>
  <c r="A92" i="4"/>
  <c r="B92" i="4"/>
  <c r="C92" i="4"/>
  <c r="D92" i="4"/>
  <c r="E92" i="4"/>
  <c r="F92" i="4"/>
  <c r="G92" i="4"/>
  <c r="H92" i="4"/>
  <c r="A93" i="4"/>
  <c r="B93" i="4"/>
  <c r="C93" i="4"/>
  <c r="D93" i="4"/>
  <c r="E93" i="4"/>
  <c r="F93" i="4"/>
  <c r="G93" i="4"/>
  <c r="H93" i="4"/>
  <c r="A94" i="4"/>
  <c r="B94" i="4"/>
  <c r="C94" i="4"/>
  <c r="D94" i="4"/>
  <c r="E94" i="4"/>
  <c r="F94" i="4"/>
  <c r="G94" i="4"/>
  <c r="H94" i="4"/>
  <c r="A95" i="4"/>
  <c r="B95" i="4"/>
  <c r="C95" i="4"/>
  <c r="D95" i="4"/>
  <c r="E95" i="4"/>
  <c r="F95" i="4"/>
  <c r="G95" i="4"/>
  <c r="H95" i="4"/>
  <c r="A96" i="4"/>
  <c r="B96" i="4"/>
  <c r="C96" i="4"/>
  <c r="D96" i="4"/>
  <c r="E96" i="4"/>
  <c r="F96" i="4"/>
  <c r="G96" i="4"/>
  <c r="H96" i="4"/>
  <c r="A97" i="4"/>
  <c r="B97" i="4"/>
  <c r="C97" i="4"/>
  <c r="D97" i="4"/>
  <c r="E97" i="4"/>
  <c r="F97" i="4"/>
  <c r="G97" i="4"/>
  <c r="H97" i="4"/>
  <c r="A98" i="4"/>
  <c r="B98" i="4"/>
  <c r="C98" i="4"/>
  <c r="D98" i="4"/>
  <c r="E98" i="4"/>
  <c r="F98" i="4"/>
  <c r="G98" i="4"/>
  <c r="H98" i="4"/>
  <c r="A99" i="4"/>
  <c r="B99" i="4"/>
  <c r="C99" i="4"/>
  <c r="D99" i="4"/>
  <c r="E99" i="4"/>
  <c r="F99" i="4"/>
  <c r="G99" i="4"/>
  <c r="H99" i="4"/>
  <c r="A100" i="4"/>
  <c r="B100" i="4"/>
  <c r="C100" i="4"/>
  <c r="D100" i="4"/>
  <c r="E100" i="4"/>
  <c r="F100" i="4"/>
  <c r="G100" i="4"/>
  <c r="H100" i="4"/>
  <c r="A101" i="4"/>
  <c r="B101" i="4"/>
  <c r="C101" i="4"/>
  <c r="D101" i="4"/>
  <c r="E101" i="4"/>
  <c r="F101" i="4"/>
  <c r="G101" i="4"/>
  <c r="H101" i="4"/>
  <c r="A102" i="4"/>
  <c r="B102" i="4"/>
  <c r="C102" i="4"/>
  <c r="D102" i="4"/>
  <c r="E102" i="4"/>
  <c r="F102" i="4"/>
  <c r="G102" i="4"/>
  <c r="H102" i="4"/>
  <c r="A103" i="4"/>
  <c r="B103" i="4"/>
  <c r="C103" i="4"/>
  <c r="D103" i="4"/>
  <c r="E103" i="4"/>
  <c r="F103" i="4"/>
  <c r="G103" i="4"/>
  <c r="H103" i="4"/>
  <c r="A104" i="4"/>
  <c r="B104" i="4"/>
  <c r="C104" i="4"/>
  <c r="D104" i="4"/>
  <c r="E104" i="4"/>
  <c r="F104" i="4"/>
  <c r="G104" i="4"/>
  <c r="H104" i="4"/>
  <c r="A105" i="4"/>
  <c r="B105" i="4"/>
  <c r="C105" i="4"/>
  <c r="D105" i="4"/>
  <c r="E105" i="4"/>
  <c r="F105" i="4"/>
  <c r="G105" i="4"/>
  <c r="H105" i="4"/>
  <c r="A106" i="4"/>
  <c r="B106" i="4"/>
  <c r="C106" i="4"/>
  <c r="D106" i="4"/>
  <c r="E106" i="4"/>
  <c r="F106" i="4"/>
  <c r="G106" i="4"/>
  <c r="H106" i="4"/>
  <c r="A107" i="4"/>
  <c r="B107" i="4"/>
  <c r="C107" i="4"/>
  <c r="D107" i="4"/>
  <c r="E107" i="4"/>
  <c r="F107" i="4"/>
  <c r="G107" i="4"/>
  <c r="H107" i="4"/>
  <c r="A108" i="4"/>
  <c r="B108" i="4"/>
  <c r="C108" i="4"/>
  <c r="D108" i="4"/>
  <c r="E108" i="4"/>
  <c r="F108" i="4"/>
  <c r="G108" i="4"/>
  <c r="H108" i="4"/>
  <c r="A109" i="4"/>
  <c r="B109" i="4"/>
  <c r="C109" i="4"/>
  <c r="D109" i="4"/>
  <c r="E109" i="4"/>
  <c r="F109" i="4"/>
  <c r="G109" i="4"/>
  <c r="H109" i="4"/>
  <c r="A110" i="4"/>
  <c r="B110" i="4"/>
  <c r="C110" i="4"/>
  <c r="D110" i="4"/>
  <c r="E110" i="4"/>
  <c r="F110" i="4"/>
  <c r="G110" i="4"/>
  <c r="H110" i="4"/>
  <c r="A111" i="4"/>
  <c r="B111" i="4"/>
  <c r="C111" i="4"/>
  <c r="D111" i="4"/>
  <c r="E111" i="4"/>
  <c r="F111" i="4"/>
  <c r="G111" i="4"/>
  <c r="H111" i="4"/>
  <c r="A112" i="4"/>
  <c r="B112" i="4"/>
  <c r="C112" i="4"/>
  <c r="D112" i="4"/>
  <c r="E112" i="4"/>
  <c r="F112" i="4"/>
  <c r="G112" i="4"/>
  <c r="H112" i="4"/>
  <c r="A113" i="4"/>
  <c r="B113" i="4"/>
  <c r="C113" i="4"/>
  <c r="D113" i="4"/>
  <c r="E113" i="4"/>
  <c r="F113" i="4"/>
  <c r="G113" i="4"/>
  <c r="H113" i="4"/>
  <c r="A114" i="4"/>
  <c r="B114" i="4"/>
  <c r="C114" i="4"/>
  <c r="D114" i="4"/>
  <c r="E114" i="4"/>
  <c r="F114" i="4"/>
  <c r="G114" i="4"/>
  <c r="H114" i="4"/>
  <c r="A115" i="4"/>
  <c r="B115" i="4"/>
  <c r="C115" i="4"/>
  <c r="D115" i="4"/>
  <c r="E115" i="4"/>
  <c r="F115" i="4"/>
  <c r="G115" i="4"/>
  <c r="H115" i="4"/>
  <c r="A116" i="4"/>
  <c r="B116" i="4"/>
  <c r="C116" i="4"/>
  <c r="D116" i="4"/>
  <c r="E116" i="4"/>
  <c r="F116" i="4"/>
  <c r="G116" i="4"/>
  <c r="H116" i="4"/>
  <c r="A117" i="4"/>
  <c r="B117" i="4"/>
  <c r="C117" i="4"/>
  <c r="D117" i="4"/>
  <c r="E117" i="4"/>
  <c r="F117" i="4"/>
  <c r="G117" i="4"/>
  <c r="H117" i="4"/>
  <c r="A118" i="4"/>
  <c r="B118" i="4"/>
  <c r="C118" i="4"/>
  <c r="D118" i="4"/>
  <c r="E118" i="4"/>
  <c r="F118" i="4"/>
  <c r="G118" i="4"/>
  <c r="H118" i="4"/>
  <c r="A119" i="4"/>
  <c r="B119" i="4"/>
  <c r="C119" i="4"/>
  <c r="D119" i="4"/>
  <c r="E119" i="4"/>
  <c r="F119" i="4"/>
  <c r="G119" i="4"/>
  <c r="H119" i="4"/>
  <c r="A120" i="4"/>
  <c r="B120" i="4"/>
  <c r="C120" i="4"/>
  <c r="D120" i="4"/>
  <c r="E120" i="4"/>
  <c r="F120" i="4"/>
  <c r="G120" i="4"/>
  <c r="H120" i="4"/>
  <c r="A121" i="4"/>
  <c r="B121" i="4"/>
  <c r="C121" i="4"/>
  <c r="D121" i="4"/>
  <c r="E121" i="4"/>
  <c r="F121" i="4"/>
  <c r="G121" i="4"/>
  <c r="H121" i="4"/>
  <c r="A122" i="4"/>
  <c r="B122" i="4"/>
  <c r="C122" i="4"/>
  <c r="D122" i="4"/>
  <c r="E122" i="4"/>
  <c r="F122" i="4"/>
  <c r="G122" i="4"/>
  <c r="H122" i="4"/>
  <c r="A123" i="4"/>
  <c r="B123" i="4"/>
  <c r="C123" i="4"/>
  <c r="D123" i="4"/>
  <c r="E123" i="4"/>
  <c r="F123" i="4"/>
  <c r="G123" i="4"/>
  <c r="H123" i="4"/>
  <c r="A124" i="4"/>
  <c r="B124" i="4"/>
  <c r="C124" i="4"/>
  <c r="D124" i="4"/>
  <c r="E124" i="4"/>
  <c r="F124" i="4"/>
  <c r="G124" i="4"/>
  <c r="H124" i="4"/>
  <c r="A125" i="4"/>
  <c r="B125" i="4"/>
  <c r="C125" i="4"/>
  <c r="D125" i="4"/>
  <c r="E125" i="4"/>
  <c r="F125" i="4"/>
  <c r="G125" i="4"/>
  <c r="H125" i="4"/>
  <c r="A126" i="4"/>
  <c r="B126" i="4"/>
  <c r="C126" i="4"/>
  <c r="D126" i="4"/>
  <c r="E126" i="4"/>
  <c r="F126" i="4"/>
  <c r="G126" i="4"/>
  <c r="H126" i="4"/>
  <c r="A127" i="4"/>
  <c r="B127" i="4"/>
  <c r="C127" i="4"/>
  <c r="D127" i="4"/>
  <c r="E127" i="4"/>
  <c r="F127" i="4"/>
  <c r="G127" i="4"/>
  <c r="H127" i="4"/>
  <c r="A128" i="4"/>
  <c r="B128" i="4"/>
  <c r="C128" i="4"/>
  <c r="D128" i="4"/>
  <c r="E128" i="4"/>
  <c r="F128" i="4"/>
  <c r="G128" i="4"/>
  <c r="H128" i="4"/>
  <c r="A129" i="4"/>
  <c r="B129" i="4"/>
  <c r="C129" i="4"/>
  <c r="D129" i="4"/>
  <c r="E129" i="4"/>
  <c r="F129" i="4"/>
  <c r="G129" i="4"/>
  <c r="H129" i="4"/>
  <c r="A130" i="4"/>
  <c r="B130" i="4"/>
  <c r="C130" i="4"/>
  <c r="D130" i="4"/>
  <c r="E130" i="4"/>
  <c r="F130" i="4"/>
  <c r="G130" i="4"/>
  <c r="H130" i="4"/>
  <c r="A131" i="4"/>
  <c r="B131" i="4"/>
  <c r="C131" i="4"/>
  <c r="D131" i="4"/>
  <c r="E131" i="4"/>
  <c r="F131" i="4"/>
  <c r="G131" i="4"/>
  <c r="H131" i="4"/>
  <c r="A132" i="4"/>
  <c r="B132" i="4"/>
  <c r="C132" i="4"/>
  <c r="D132" i="4"/>
  <c r="E132" i="4"/>
  <c r="F132" i="4"/>
  <c r="G132" i="4"/>
  <c r="H132" i="4"/>
  <c r="A133" i="4"/>
  <c r="B133" i="4"/>
  <c r="C133" i="4"/>
  <c r="D133" i="4"/>
  <c r="E133" i="4"/>
  <c r="F133" i="4"/>
  <c r="G133" i="4"/>
  <c r="H133" i="4"/>
  <c r="A134" i="4"/>
  <c r="B134" i="4"/>
  <c r="C134" i="4"/>
  <c r="D134" i="4"/>
  <c r="E134" i="4"/>
  <c r="F134" i="4"/>
  <c r="G134" i="4"/>
  <c r="H134" i="4"/>
  <c r="A135" i="4"/>
  <c r="B135" i="4"/>
  <c r="C135" i="4"/>
  <c r="D135" i="4"/>
  <c r="E135" i="4"/>
  <c r="F135" i="4"/>
  <c r="G135" i="4"/>
  <c r="H135" i="4"/>
  <c r="A136" i="4"/>
  <c r="B136" i="4"/>
  <c r="C136" i="4"/>
  <c r="D136" i="4"/>
  <c r="E136" i="4"/>
  <c r="F136" i="4"/>
  <c r="G136" i="4"/>
  <c r="H136" i="4"/>
  <c r="A137" i="4"/>
  <c r="B137" i="4"/>
  <c r="C137" i="4"/>
  <c r="D137" i="4"/>
  <c r="E137" i="4"/>
  <c r="F137" i="4"/>
  <c r="G137" i="4"/>
  <c r="H137" i="4"/>
  <c r="A138" i="4"/>
  <c r="B138" i="4"/>
  <c r="C138" i="4"/>
  <c r="D138" i="4"/>
  <c r="E138" i="4"/>
  <c r="F138" i="4"/>
  <c r="G138" i="4"/>
  <c r="H138" i="4"/>
  <c r="A139" i="4"/>
  <c r="B139" i="4"/>
  <c r="C139" i="4"/>
  <c r="D139" i="4"/>
  <c r="E139" i="4"/>
  <c r="F139" i="4"/>
  <c r="G139" i="4"/>
  <c r="H139" i="4"/>
  <c r="A140" i="4"/>
  <c r="B140" i="4"/>
  <c r="C140" i="4"/>
  <c r="D140" i="4"/>
  <c r="E140" i="4"/>
  <c r="F140" i="4"/>
  <c r="G140" i="4"/>
  <c r="H140" i="4"/>
  <c r="A141" i="4"/>
  <c r="B141" i="4"/>
  <c r="C141" i="4"/>
  <c r="D141" i="4"/>
  <c r="E141" i="4"/>
  <c r="F141" i="4"/>
  <c r="G141" i="4"/>
  <c r="H141" i="4"/>
  <c r="A142" i="4"/>
  <c r="B142" i="4"/>
  <c r="C142" i="4"/>
  <c r="D142" i="4"/>
  <c r="E142" i="4"/>
  <c r="F142" i="4"/>
  <c r="G142" i="4"/>
  <c r="H142" i="4"/>
  <c r="A143" i="4"/>
  <c r="B143" i="4"/>
  <c r="C143" i="4"/>
  <c r="D143" i="4"/>
  <c r="E143" i="4"/>
  <c r="F143" i="4"/>
  <c r="G143" i="4"/>
  <c r="H143" i="4"/>
  <c r="A144" i="4"/>
  <c r="B144" i="4"/>
  <c r="C144" i="4"/>
  <c r="D144" i="4"/>
  <c r="E144" i="4"/>
  <c r="F144" i="4"/>
  <c r="G144" i="4"/>
  <c r="H144" i="4"/>
  <c r="A145" i="4"/>
  <c r="B145" i="4"/>
  <c r="C145" i="4"/>
  <c r="D145" i="4"/>
  <c r="E145" i="4"/>
  <c r="F145" i="4"/>
  <c r="G145" i="4"/>
  <c r="H145" i="4"/>
  <c r="A146" i="4"/>
  <c r="B146" i="4"/>
  <c r="C146" i="4"/>
  <c r="D146" i="4"/>
  <c r="E146" i="4"/>
  <c r="F146" i="4"/>
  <c r="G146" i="4"/>
  <c r="H146" i="4"/>
  <c r="A147" i="4"/>
  <c r="B147" i="4"/>
  <c r="C147" i="4"/>
  <c r="D147" i="4"/>
  <c r="E147" i="4"/>
  <c r="F147" i="4"/>
  <c r="G147" i="4"/>
  <c r="H147" i="4"/>
  <c r="A148" i="4"/>
  <c r="B148" i="4"/>
  <c r="C148" i="4"/>
  <c r="D148" i="4"/>
  <c r="E148" i="4"/>
  <c r="F148" i="4"/>
  <c r="G148" i="4"/>
  <c r="H148" i="4"/>
  <c r="A149" i="4"/>
  <c r="B149" i="4"/>
  <c r="C149" i="4"/>
  <c r="D149" i="4"/>
  <c r="E149" i="4"/>
  <c r="F149" i="4"/>
  <c r="G149" i="4"/>
  <c r="H149" i="4"/>
  <c r="A150" i="4"/>
  <c r="B150" i="4"/>
  <c r="C150" i="4"/>
  <c r="D150" i="4"/>
  <c r="E150" i="4"/>
  <c r="F150" i="4"/>
  <c r="G150" i="4"/>
  <c r="H150" i="4"/>
  <c r="A151" i="4"/>
  <c r="B151" i="4"/>
  <c r="C151" i="4"/>
  <c r="D151" i="4"/>
  <c r="E151" i="4"/>
  <c r="F151" i="4"/>
  <c r="G151" i="4"/>
  <c r="H151" i="4"/>
  <c r="A152" i="4"/>
  <c r="B152" i="4"/>
  <c r="C152" i="4"/>
  <c r="D152" i="4"/>
  <c r="E152" i="4"/>
  <c r="F152" i="4"/>
  <c r="G152" i="4"/>
  <c r="H152" i="4"/>
  <c r="A153" i="4"/>
  <c r="B153" i="4"/>
  <c r="C153" i="4"/>
  <c r="D153" i="4"/>
  <c r="E153" i="4"/>
  <c r="F153" i="4"/>
  <c r="G153" i="4"/>
  <c r="H153" i="4"/>
  <c r="A154" i="4"/>
  <c r="B154" i="4"/>
  <c r="C154" i="4"/>
  <c r="D154" i="4"/>
  <c r="E154" i="4"/>
  <c r="F154" i="4"/>
  <c r="G154" i="4"/>
  <c r="H154" i="4"/>
  <c r="A155" i="4"/>
  <c r="B155" i="4"/>
  <c r="C155" i="4"/>
  <c r="D155" i="4"/>
  <c r="E155" i="4"/>
  <c r="F155" i="4"/>
  <c r="G155" i="4"/>
  <c r="H155" i="4"/>
  <c r="A156" i="4"/>
  <c r="B156" i="4"/>
  <c r="C156" i="4"/>
  <c r="D156" i="4"/>
  <c r="E156" i="4"/>
  <c r="F156" i="4"/>
  <c r="G156" i="4"/>
  <c r="H156" i="4"/>
  <c r="A157" i="4"/>
  <c r="B157" i="4"/>
  <c r="C157" i="4"/>
  <c r="D157" i="4"/>
  <c r="E157" i="4"/>
  <c r="F157" i="4"/>
  <c r="G157" i="4"/>
  <c r="H157" i="4"/>
  <c r="A158" i="4"/>
  <c r="B158" i="4"/>
  <c r="C158" i="4"/>
  <c r="D158" i="4"/>
  <c r="E158" i="4"/>
  <c r="F158" i="4"/>
  <c r="G158" i="4"/>
  <c r="H158" i="4"/>
  <c r="A159" i="4"/>
  <c r="B159" i="4"/>
  <c r="C159" i="4"/>
  <c r="D159" i="4"/>
  <c r="E159" i="4"/>
  <c r="F159" i="4"/>
  <c r="G159" i="4"/>
  <c r="H159" i="4"/>
  <c r="A160" i="4"/>
  <c r="B160" i="4"/>
  <c r="C160" i="4"/>
  <c r="D160" i="4"/>
  <c r="E160" i="4"/>
  <c r="F160" i="4"/>
  <c r="G160" i="4"/>
  <c r="H160" i="4"/>
  <c r="A161" i="4"/>
  <c r="B161" i="4"/>
  <c r="C161" i="4"/>
  <c r="D161" i="4"/>
  <c r="E161" i="4"/>
  <c r="F161" i="4"/>
  <c r="G161" i="4"/>
  <c r="H161" i="4"/>
  <c r="A162" i="4"/>
  <c r="B162" i="4"/>
  <c r="C162" i="4"/>
  <c r="D162" i="4"/>
  <c r="E162" i="4"/>
  <c r="F162" i="4"/>
  <c r="G162" i="4"/>
  <c r="H162" i="4"/>
  <c r="A163" i="4"/>
  <c r="B163" i="4"/>
  <c r="C163" i="4"/>
  <c r="D163" i="4"/>
  <c r="E163" i="4"/>
  <c r="F163" i="4"/>
  <c r="G163" i="4"/>
  <c r="H163" i="4"/>
  <c r="A164" i="4"/>
  <c r="B164" i="4"/>
  <c r="C164" i="4"/>
  <c r="D164" i="4"/>
  <c r="E164" i="4"/>
  <c r="F164" i="4"/>
  <c r="G164" i="4"/>
  <c r="H164" i="4"/>
  <c r="A165" i="4"/>
  <c r="B165" i="4"/>
  <c r="C165" i="4"/>
  <c r="D165" i="4"/>
  <c r="E165" i="4"/>
  <c r="F165" i="4"/>
  <c r="G165" i="4"/>
  <c r="H165" i="4"/>
  <c r="A166" i="4"/>
  <c r="B166" i="4"/>
  <c r="C166" i="4"/>
  <c r="D166" i="4"/>
  <c r="E166" i="4"/>
  <c r="F166" i="4"/>
  <c r="G166" i="4"/>
  <c r="H166" i="4"/>
  <c r="A167" i="4"/>
  <c r="B167" i="4"/>
  <c r="C167" i="4"/>
  <c r="D167" i="4"/>
  <c r="E167" i="4"/>
  <c r="F167" i="4"/>
  <c r="G167" i="4"/>
  <c r="H167" i="4"/>
  <c r="A168" i="4"/>
  <c r="B168" i="4"/>
  <c r="C168" i="4"/>
  <c r="D168" i="4"/>
  <c r="E168" i="4"/>
  <c r="F168" i="4"/>
  <c r="G168" i="4"/>
  <c r="H168" i="4"/>
  <c r="A169" i="4"/>
  <c r="B169" i="4"/>
  <c r="C169" i="4"/>
  <c r="D169" i="4"/>
  <c r="E169" i="4"/>
  <c r="F169" i="4"/>
  <c r="G169" i="4"/>
  <c r="H169" i="4"/>
  <c r="A170" i="4"/>
  <c r="B170" i="4"/>
  <c r="C170" i="4"/>
  <c r="D170" i="4"/>
  <c r="E170" i="4"/>
  <c r="F170" i="4"/>
  <c r="G170" i="4"/>
  <c r="H170" i="4"/>
  <c r="A171" i="4"/>
  <c r="B171" i="4"/>
  <c r="C171" i="4"/>
  <c r="D171" i="4"/>
  <c r="E171" i="4"/>
  <c r="F171" i="4"/>
  <c r="G171" i="4"/>
  <c r="H171" i="4"/>
  <c r="A172" i="4"/>
  <c r="B172" i="4"/>
  <c r="C172" i="4"/>
  <c r="D172" i="4"/>
  <c r="E172" i="4"/>
  <c r="F172" i="4"/>
  <c r="G172" i="4"/>
  <c r="H172" i="4"/>
  <c r="A173" i="4"/>
  <c r="B173" i="4"/>
  <c r="C173" i="4"/>
  <c r="D173" i="4"/>
  <c r="E173" i="4"/>
  <c r="F173" i="4"/>
  <c r="G173" i="4"/>
  <c r="H173" i="4"/>
  <c r="A174" i="4"/>
  <c r="B174" i="4"/>
  <c r="C174" i="4"/>
  <c r="D174" i="4"/>
  <c r="E174" i="4"/>
  <c r="F174" i="4"/>
  <c r="G174" i="4"/>
  <c r="H174" i="4"/>
  <c r="A175" i="4"/>
  <c r="B175" i="4"/>
  <c r="C175" i="4"/>
  <c r="D175" i="4"/>
  <c r="E175" i="4"/>
  <c r="F175" i="4"/>
  <c r="G175" i="4"/>
  <c r="H175" i="4"/>
  <c r="A176" i="4"/>
  <c r="B176" i="4"/>
  <c r="C176" i="4"/>
  <c r="D176" i="4"/>
  <c r="E176" i="4"/>
  <c r="F176" i="4"/>
  <c r="G176" i="4"/>
  <c r="H176" i="4"/>
  <c r="A177" i="4"/>
  <c r="B177" i="4"/>
  <c r="C177" i="4"/>
  <c r="D177" i="4"/>
  <c r="E177" i="4"/>
  <c r="F177" i="4"/>
  <c r="G177" i="4"/>
  <c r="H177" i="4"/>
  <c r="A178" i="4"/>
  <c r="B178" i="4"/>
  <c r="C178" i="4"/>
  <c r="D178" i="4"/>
  <c r="E178" i="4"/>
  <c r="F178" i="4"/>
  <c r="G178" i="4"/>
  <c r="H178" i="4"/>
  <c r="A179" i="4"/>
  <c r="B179" i="4"/>
  <c r="C179" i="4"/>
  <c r="D179" i="4"/>
  <c r="E179" i="4"/>
  <c r="F179" i="4"/>
  <c r="G179" i="4"/>
  <c r="H179" i="4"/>
  <c r="A180" i="4"/>
  <c r="B180" i="4"/>
  <c r="C180" i="4"/>
  <c r="D180" i="4"/>
  <c r="E180" i="4"/>
  <c r="F180" i="4"/>
  <c r="G180" i="4"/>
  <c r="H180" i="4"/>
  <c r="A181" i="4"/>
  <c r="B181" i="4"/>
  <c r="C181" i="4"/>
  <c r="D181" i="4"/>
  <c r="E181" i="4"/>
  <c r="F181" i="4"/>
  <c r="G181" i="4"/>
  <c r="H181" i="4"/>
  <c r="A182" i="4"/>
  <c r="B182" i="4"/>
  <c r="C182" i="4"/>
  <c r="D182" i="4"/>
  <c r="E182" i="4"/>
  <c r="F182" i="4"/>
  <c r="G182" i="4"/>
  <c r="H182" i="4"/>
  <c r="A183" i="4"/>
  <c r="B183" i="4"/>
  <c r="C183" i="4"/>
  <c r="D183" i="4"/>
  <c r="E183" i="4"/>
  <c r="F183" i="4"/>
  <c r="G183" i="4"/>
  <c r="H183" i="4"/>
  <c r="A184" i="4"/>
  <c r="B184" i="4"/>
  <c r="C184" i="4"/>
  <c r="D184" i="4"/>
  <c r="E184" i="4"/>
  <c r="F184" i="4"/>
  <c r="G184" i="4"/>
  <c r="H184" i="4"/>
  <c r="A185" i="4"/>
  <c r="B185" i="4"/>
  <c r="C185" i="4"/>
  <c r="D185" i="4"/>
  <c r="E185" i="4"/>
  <c r="F185" i="4"/>
  <c r="G185" i="4"/>
  <c r="H185" i="4"/>
  <c r="A186" i="4"/>
  <c r="B186" i="4"/>
  <c r="C186" i="4"/>
  <c r="D186" i="4"/>
  <c r="E186" i="4"/>
  <c r="F186" i="4"/>
  <c r="G186" i="4"/>
  <c r="H186" i="4"/>
  <c r="A187" i="4"/>
  <c r="B187" i="4"/>
  <c r="C187" i="4"/>
  <c r="D187" i="4"/>
  <c r="E187" i="4"/>
  <c r="F187" i="4"/>
  <c r="G187" i="4"/>
  <c r="H187" i="4"/>
  <c r="A188" i="4"/>
  <c r="B188" i="4"/>
  <c r="C188" i="4"/>
  <c r="D188" i="4"/>
  <c r="E188" i="4"/>
  <c r="F188" i="4"/>
  <c r="G188" i="4"/>
  <c r="H188" i="4"/>
  <c r="A189" i="4"/>
  <c r="B189" i="4"/>
  <c r="C189" i="4"/>
  <c r="D189" i="4"/>
  <c r="E189" i="4"/>
  <c r="F189" i="4"/>
  <c r="G189" i="4"/>
  <c r="H189" i="4"/>
  <c r="A190" i="4"/>
  <c r="B190" i="4"/>
  <c r="C190" i="4"/>
  <c r="D190" i="4"/>
  <c r="E190" i="4"/>
  <c r="F190" i="4"/>
  <c r="G190" i="4"/>
  <c r="H190" i="4"/>
  <c r="A191" i="4"/>
  <c r="B191" i="4"/>
  <c r="C191" i="4"/>
  <c r="D191" i="4"/>
  <c r="E191" i="4"/>
  <c r="F191" i="4"/>
  <c r="G191" i="4"/>
  <c r="H191" i="4"/>
  <c r="A192" i="4"/>
  <c r="B192" i="4"/>
  <c r="C192" i="4"/>
  <c r="D192" i="4"/>
  <c r="E192" i="4"/>
  <c r="F192" i="4"/>
  <c r="G192" i="4"/>
  <c r="H192" i="4"/>
  <c r="A193" i="4"/>
  <c r="B193" i="4"/>
  <c r="C193" i="4"/>
  <c r="D193" i="4"/>
  <c r="E193" i="4"/>
  <c r="F193" i="4"/>
  <c r="G193" i="4"/>
  <c r="H193" i="4"/>
  <c r="A194" i="4"/>
  <c r="B194" i="4"/>
  <c r="C194" i="4"/>
  <c r="D194" i="4"/>
  <c r="E194" i="4"/>
  <c r="F194" i="4"/>
  <c r="G194" i="4"/>
  <c r="H194" i="4"/>
  <c r="A195" i="4"/>
  <c r="B195" i="4"/>
  <c r="C195" i="4"/>
  <c r="D195" i="4"/>
  <c r="E195" i="4"/>
  <c r="F195" i="4"/>
  <c r="G195" i="4"/>
  <c r="H195" i="4"/>
  <c r="A196" i="4"/>
  <c r="B196" i="4"/>
  <c r="C196" i="4"/>
  <c r="D196" i="4"/>
  <c r="E196" i="4"/>
  <c r="F196" i="4"/>
  <c r="G196" i="4"/>
  <c r="H196" i="4"/>
  <c r="A197" i="4"/>
  <c r="B197" i="4"/>
  <c r="C197" i="4"/>
  <c r="D197" i="4"/>
  <c r="E197" i="4"/>
  <c r="F197" i="4"/>
  <c r="G197" i="4"/>
  <c r="H197" i="4"/>
  <c r="A198" i="4"/>
  <c r="B198" i="4"/>
  <c r="C198" i="4"/>
  <c r="D198" i="4"/>
  <c r="E198" i="4"/>
  <c r="F198" i="4"/>
  <c r="G198" i="4"/>
  <c r="H198" i="4"/>
  <c r="A199" i="4"/>
  <c r="B199" i="4"/>
  <c r="C199" i="4"/>
  <c r="D199" i="4"/>
  <c r="E199" i="4"/>
  <c r="F199" i="4"/>
  <c r="G199" i="4"/>
  <c r="H199" i="4"/>
  <c r="A200" i="4"/>
  <c r="B200" i="4"/>
  <c r="C200" i="4"/>
  <c r="D200" i="4"/>
  <c r="E200" i="4"/>
  <c r="F200" i="4"/>
  <c r="G200" i="4"/>
  <c r="H200" i="4"/>
  <c r="A201" i="4"/>
  <c r="B201" i="4"/>
  <c r="C201" i="4"/>
  <c r="D201" i="4"/>
  <c r="E201" i="4"/>
  <c r="F201" i="4"/>
  <c r="G201" i="4"/>
  <c r="H201" i="4"/>
  <c r="A202" i="4"/>
  <c r="B202" i="4"/>
  <c r="C202" i="4"/>
  <c r="D202" i="4"/>
  <c r="E202" i="4"/>
  <c r="F202" i="4"/>
  <c r="G202" i="4"/>
  <c r="H202" i="4"/>
  <c r="A203" i="4"/>
  <c r="B203" i="4"/>
  <c r="C203" i="4"/>
  <c r="D203" i="4"/>
  <c r="E203" i="4"/>
  <c r="F203" i="4"/>
  <c r="G203" i="4"/>
  <c r="H203" i="4"/>
  <c r="A204" i="4"/>
  <c r="B204" i="4"/>
  <c r="C204" i="4"/>
  <c r="D204" i="4"/>
  <c r="E204" i="4"/>
  <c r="F204" i="4"/>
  <c r="G204" i="4"/>
  <c r="H204" i="4"/>
  <c r="A205" i="4"/>
  <c r="B205" i="4"/>
  <c r="C205" i="4"/>
  <c r="D205" i="4"/>
  <c r="E205" i="4"/>
  <c r="F205" i="4"/>
  <c r="G205" i="4"/>
  <c r="H205" i="4"/>
  <c r="A206" i="4"/>
  <c r="B206" i="4"/>
  <c r="C206" i="4"/>
  <c r="D206" i="4"/>
  <c r="E206" i="4"/>
  <c r="F206" i="4"/>
  <c r="G206" i="4"/>
  <c r="H206" i="4"/>
  <c r="A207" i="4"/>
  <c r="B207" i="4"/>
  <c r="C207" i="4"/>
  <c r="D207" i="4"/>
  <c r="E207" i="4"/>
  <c r="F207" i="4"/>
  <c r="G207" i="4"/>
  <c r="H207" i="4"/>
  <c r="A208" i="4"/>
  <c r="B208" i="4"/>
  <c r="C208" i="4"/>
  <c r="D208" i="4"/>
  <c r="E208" i="4"/>
  <c r="F208" i="4"/>
  <c r="G208" i="4"/>
  <c r="H208" i="4"/>
  <c r="A209" i="4"/>
  <c r="B209" i="4"/>
  <c r="C209" i="4"/>
  <c r="D209" i="4"/>
  <c r="E209" i="4"/>
  <c r="F209" i="4"/>
  <c r="G209" i="4"/>
  <c r="H209" i="4"/>
  <c r="A210" i="4"/>
  <c r="B210" i="4"/>
  <c r="C210" i="4"/>
  <c r="D210" i="4"/>
  <c r="E210" i="4"/>
  <c r="F210" i="4"/>
  <c r="G210" i="4"/>
  <c r="H210" i="4"/>
  <c r="A211" i="4"/>
  <c r="B211" i="4"/>
  <c r="C211" i="4"/>
  <c r="D211" i="4"/>
  <c r="E211" i="4"/>
  <c r="F211" i="4"/>
  <c r="G211" i="4"/>
  <c r="H211" i="4"/>
  <c r="A212" i="4"/>
  <c r="B212" i="4"/>
  <c r="C212" i="4"/>
  <c r="D212" i="4"/>
  <c r="E212" i="4"/>
  <c r="F212" i="4"/>
  <c r="G212" i="4"/>
  <c r="H212" i="4"/>
  <c r="A213" i="4"/>
  <c r="B213" i="4"/>
  <c r="C213" i="4"/>
  <c r="D213" i="4"/>
  <c r="E213" i="4"/>
  <c r="F213" i="4"/>
  <c r="G213" i="4"/>
  <c r="H213" i="4"/>
  <c r="A214" i="4"/>
  <c r="B214" i="4"/>
  <c r="C214" i="4"/>
  <c r="D214" i="4"/>
  <c r="E214" i="4"/>
  <c r="F214" i="4"/>
  <c r="G214" i="4"/>
  <c r="H214" i="4"/>
  <c r="A215" i="4"/>
  <c r="B215" i="4"/>
  <c r="C215" i="4"/>
  <c r="D215" i="4"/>
  <c r="E215" i="4"/>
  <c r="F215" i="4"/>
  <c r="G215" i="4"/>
  <c r="H215" i="4"/>
  <c r="A216" i="4"/>
  <c r="B216" i="4"/>
  <c r="C216" i="4"/>
  <c r="D216" i="4"/>
  <c r="E216" i="4"/>
  <c r="F216" i="4"/>
  <c r="G216" i="4"/>
  <c r="H216" i="4"/>
  <c r="A217" i="4"/>
  <c r="B217" i="4"/>
  <c r="C217" i="4"/>
  <c r="D217" i="4"/>
  <c r="E217" i="4"/>
  <c r="F217" i="4"/>
  <c r="G217" i="4"/>
  <c r="H217" i="4"/>
  <c r="A218" i="4"/>
  <c r="B218" i="4"/>
  <c r="C218" i="4"/>
  <c r="D218" i="4"/>
  <c r="E218" i="4"/>
  <c r="F218" i="4"/>
  <c r="G218" i="4"/>
  <c r="H218" i="4"/>
  <c r="A219" i="4"/>
  <c r="B219" i="4"/>
  <c r="C219" i="4"/>
  <c r="D219" i="4"/>
  <c r="E219" i="4"/>
  <c r="F219" i="4"/>
  <c r="G219" i="4"/>
  <c r="H219" i="4"/>
  <c r="A220" i="4"/>
  <c r="B220" i="4"/>
  <c r="C220" i="4"/>
  <c r="D220" i="4"/>
  <c r="E220" i="4"/>
  <c r="F220" i="4"/>
  <c r="G220" i="4"/>
  <c r="H220" i="4"/>
  <c r="A221" i="4"/>
  <c r="B221" i="4"/>
  <c r="C221" i="4"/>
  <c r="D221" i="4"/>
  <c r="E221" i="4"/>
  <c r="F221" i="4"/>
  <c r="G221" i="4"/>
  <c r="H221" i="4"/>
  <c r="A222" i="4"/>
  <c r="B222" i="4"/>
  <c r="C222" i="4"/>
  <c r="D222" i="4"/>
  <c r="E222" i="4"/>
  <c r="F222" i="4"/>
  <c r="G222" i="4"/>
  <c r="H222" i="4"/>
  <c r="A223" i="4"/>
  <c r="B223" i="4"/>
  <c r="C223" i="4"/>
  <c r="D223" i="4"/>
  <c r="E223" i="4"/>
  <c r="F223" i="4"/>
  <c r="G223" i="4"/>
  <c r="H223" i="4"/>
  <c r="A224" i="4"/>
  <c r="B224" i="4"/>
  <c r="C224" i="4"/>
  <c r="D224" i="4"/>
  <c r="E224" i="4"/>
  <c r="F224" i="4"/>
  <c r="G224" i="4"/>
  <c r="H224" i="4"/>
  <c r="A225" i="4"/>
  <c r="B225" i="4"/>
  <c r="C225" i="4"/>
  <c r="D225" i="4"/>
  <c r="E225" i="4"/>
  <c r="F225" i="4"/>
  <c r="G225" i="4"/>
  <c r="H225" i="4"/>
  <c r="A226" i="4"/>
  <c r="B226" i="4"/>
  <c r="C226" i="4"/>
  <c r="D226" i="4"/>
  <c r="E226" i="4"/>
  <c r="F226" i="4"/>
  <c r="G226" i="4"/>
  <c r="H226" i="4"/>
  <c r="A227" i="4"/>
  <c r="B227" i="4"/>
  <c r="C227" i="4"/>
  <c r="D227" i="4"/>
  <c r="E227" i="4"/>
  <c r="F227" i="4"/>
  <c r="G227" i="4"/>
  <c r="H227" i="4"/>
  <c r="A228" i="4"/>
  <c r="B228" i="4"/>
  <c r="C228" i="4"/>
  <c r="D228" i="4"/>
  <c r="E228" i="4"/>
  <c r="F228" i="4"/>
  <c r="G228" i="4"/>
  <c r="H228" i="4"/>
  <c r="A229" i="4"/>
  <c r="B229" i="4"/>
  <c r="C229" i="4"/>
  <c r="D229" i="4"/>
  <c r="E229" i="4"/>
  <c r="F229" i="4"/>
  <c r="G229" i="4"/>
  <c r="H229" i="4"/>
  <c r="A230" i="4"/>
  <c r="B230" i="4"/>
  <c r="C230" i="4"/>
  <c r="D230" i="4"/>
  <c r="E230" i="4"/>
  <c r="F230" i="4"/>
  <c r="G230" i="4"/>
  <c r="H230" i="4"/>
  <c r="A231" i="4"/>
  <c r="B231" i="4"/>
  <c r="C231" i="4"/>
  <c r="D231" i="4"/>
  <c r="E231" i="4"/>
  <c r="F231" i="4"/>
  <c r="G231" i="4"/>
  <c r="H231" i="4"/>
  <c r="A232" i="4"/>
  <c r="B232" i="4"/>
  <c r="C232" i="4"/>
  <c r="D232" i="4"/>
  <c r="E232" i="4"/>
  <c r="F232" i="4"/>
  <c r="G232" i="4"/>
  <c r="H232" i="4"/>
  <c r="A233" i="4"/>
  <c r="B233" i="4"/>
  <c r="C233" i="4"/>
  <c r="D233" i="4"/>
  <c r="E233" i="4"/>
  <c r="F233" i="4"/>
  <c r="G233" i="4"/>
  <c r="H233" i="4"/>
  <c r="A234" i="4"/>
  <c r="B234" i="4"/>
  <c r="C234" i="4"/>
  <c r="D234" i="4"/>
  <c r="E234" i="4"/>
  <c r="F234" i="4"/>
  <c r="G234" i="4"/>
  <c r="H234" i="4"/>
  <c r="A235" i="4"/>
  <c r="B235" i="4"/>
  <c r="C235" i="4"/>
  <c r="D235" i="4"/>
  <c r="E235" i="4"/>
  <c r="F235" i="4"/>
  <c r="G235" i="4"/>
  <c r="H235" i="4"/>
  <c r="A236" i="4"/>
  <c r="B236" i="4"/>
  <c r="C236" i="4"/>
  <c r="D236" i="4"/>
  <c r="E236" i="4"/>
  <c r="F236" i="4"/>
  <c r="G236" i="4"/>
  <c r="H236" i="4"/>
  <c r="A237" i="4"/>
  <c r="B237" i="4"/>
  <c r="C237" i="4"/>
  <c r="D237" i="4"/>
  <c r="E237" i="4"/>
  <c r="F237" i="4"/>
  <c r="G237" i="4"/>
  <c r="H237" i="4"/>
  <c r="A238" i="4"/>
  <c r="B238" i="4"/>
  <c r="C238" i="4"/>
  <c r="D238" i="4"/>
  <c r="E238" i="4"/>
  <c r="F238" i="4"/>
  <c r="G238" i="4"/>
  <c r="H238" i="4"/>
  <c r="A239" i="4"/>
  <c r="B239" i="4"/>
  <c r="C239" i="4"/>
  <c r="D239" i="4"/>
  <c r="E239" i="4"/>
  <c r="F239" i="4"/>
  <c r="G239" i="4"/>
  <c r="H239" i="4"/>
  <c r="A240" i="4"/>
  <c r="B240" i="4"/>
  <c r="C240" i="4"/>
  <c r="D240" i="4"/>
  <c r="E240" i="4"/>
  <c r="F240" i="4"/>
  <c r="G240" i="4"/>
  <c r="H240" i="4"/>
  <c r="A241" i="4"/>
  <c r="B241" i="4"/>
  <c r="C241" i="4"/>
  <c r="D241" i="4"/>
  <c r="E241" i="4"/>
  <c r="F241" i="4"/>
  <c r="G241" i="4"/>
  <c r="H241" i="4"/>
  <c r="A242" i="4"/>
  <c r="B242" i="4"/>
  <c r="C242" i="4"/>
  <c r="D242" i="4"/>
  <c r="E242" i="4"/>
  <c r="F242" i="4"/>
  <c r="G242" i="4"/>
  <c r="H242" i="4"/>
  <c r="A243" i="4"/>
  <c r="B243" i="4"/>
  <c r="C243" i="4"/>
  <c r="D243" i="4"/>
  <c r="E243" i="4"/>
  <c r="F243" i="4"/>
  <c r="G243" i="4"/>
  <c r="H243" i="4"/>
  <c r="A244" i="4"/>
  <c r="B244" i="4"/>
  <c r="C244" i="4"/>
  <c r="D244" i="4"/>
  <c r="E244" i="4"/>
  <c r="F244" i="4"/>
  <c r="G244" i="4"/>
  <c r="H244" i="4"/>
  <c r="A245" i="4"/>
  <c r="B245" i="4"/>
  <c r="C245" i="4"/>
  <c r="D245" i="4"/>
  <c r="E245" i="4"/>
  <c r="F245" i="4"/>
  <c r="G245" i="4"/>
  <c r="H245" i="4"/>
  <c r="A246" i="4"/>
  <c r="B246" i="4"/>
  <c r="C246" i="4"/>
  <c r="D246" i="4"/>
  <c r="E246" i="4"/>
  <c r="F246" i="4"/>
  <c r="G246" i="4"/>
  <c r="H246" i="4"/>
  <c r="A247" i="4"/>
  <c r="B247" i="4"/>
  <c r="C247" i="4"/>
  <c r="D247" i="4"/>
  <c r="E247" i="4"/>
  <c r="F247" i="4"/>
  <c r="G247" i="4"/>
  <c r="H247" i="4"/>
  <c r="A248" i="4"/>
  <c r="B248" i="4"/>
  <c r="C248" i="4"/>
  <c r="D248" i="4"/>
  <c r="E248" i="4"/>
  <c r="F248" i="4"/>
  <c r="G248" i="4"/>
  <c r="H248" i="4"/>
  <c r="A249" i="4"/>
  <c r="B249" i="4"/>
  <c r="C249" i="4"/>
  <c r="D249" i="4"/>
  <c r="E249" i="4"/>
  <c r="F249" i="4"/>
  <c r="G249" i="4"/>
  <c r="H249" i="4"/>
  <c r="A250" i="4"/>
  <c r="B250" i="4"/>
  <c r="C250" i="4"/>
  <c r="D250" i="4"/>
  <c r="E250" i="4"/>
  <c r="F250" i="4"/>
  <c r="G250" i="4"/>
  <c r="H250" i="4"/>
  <c r="A251" i="4"/>
  <c r="B251" i="4"/>
  <c r="C251" i="4"/>
  <c r="D251" i="4"/>
  <c r="E251" i="4"/>
  <c r="F251" i="4"/>
  <c r="G251" i="4"/>
  <c r="H251" i="4"/>
  <c r="A252" i="4"/>
  <c r="B252" i="4"/>
  <c r="C252" i="4"/>
  <c r="D252" i="4"/>
  <c r="E252" i="4"/>
  <c r="F252" i="4"/>
  <c r="G252" i="4"/>
  <c r="H252" i="4"/>
  <c r="A253" i="4"/>
  <c r="B253" i="4"/>
  <c r="C253" i="4"/>
  <c r="D253" i="4"/>
  <c r="E253" i="4"/>
  <c r="F253" i="4"/>
  <c r="G253" i="4"/>
  <c r="H253" i="4"/>
  <c r="A254" i="4"/>
  <c r="B254" i="4"/>
  <c r="C254" i="4"/>
  <c r="D254" i="4"/>
  <c r="E254" i="4"/>
  <c r="F254" i="4"/>
  <c r="G254" i="4"/>
  <c r="H254" i="4"/>
  <c r="A255" i="4"/>
  <c r="B255" i="4"/>
  <c r="C255" i="4"/>
  <c r="D255" i="4"/>
  <c r="E255" i="4"/>
  <c r="F255" i="4"/>
  <c r="G255" i="4"/>
  <c r="H255" i="4"/>
  <c r="A256" i="4"/>
  <c r="B256" i="4"/>
  <c r="C256" i="4"/>
  <c r="D256" i="4"/>
  <c r="E256" i="4"/>
  <c r="F256" i="4"/>
  <c r="G256" i="4"/>
  <c r="H256" i="4"/>
  <c r="A257" i="4"/>
  <c r="B257" i="4"/>
  <c r="C257" i="4"/>
  <c r="D257" i="4"/>
  <c r="E257" i="4"/>
  <c r="F257" i="4"/>
  <c r="G257" i="4"/>
  <c r="H257" i="4"/>
  <c r="A258" i="4"/>
  <c r="B258" i="4"/>
  <c r="C258" i="4"/>
  <c r="D258" i="4"/>
  <c r="E258" i="4"/>
  <c r="F258" i="4"/>
  <c r="G258" i="4"/>
  <c r="H258" i="4"/>
  <c r="A259" i="4"/>
  <c r="B259" i="4"/>
  <c r="C259" i="4"/>
  <c r="D259" i="4"/>
  <c r="E259" i="4"/>
  <c r="F259" i="4"/>
  <c r="G259" i="4"/>
  <c r="H259" i="4"/>
  <c r="A260" i="4"/>
  <c r="B260" i="4"/>
  <c r="C260" i="4"/>
  <c r="D260" i="4"/>
  <c r="E260" i="4"/>
  <c r="F260" i="4"/>
  <c r="G260" i="4"/>
  <c r="H260" i="4"/>
  <c r="A261" i="4"/>
  <c r="B261" i="4"/>
  <c r="C261" i="4"/>
  <c r="D261" i="4"/>
  <c r="E261" i="4"/>
  <c r="F261" i="4"/>
  <c r="G261" i="4"/>
  <c r="H261" i="4"/>
  <c r="A262" i="4"/>
  <c r="B262" i="4"/>
  <c r="C262" i="4"/>
  <c r="D262" i="4"/>
  <c r="E262" i="4"/>
  <c r="F262" i="4"/>
  <c r="G262" i="4"/>
  <c r="H262" i="4"/>
  <c r="A263" i="4"/>
  <c r="B263" i="4"/>
  <c r="C263" i="4"/>
  <c r="D263" i="4"/>
  <c r="E263" i="4"/>
  <c r="F263" i="4"/>
  <c r="G263" i="4"/>
  <c r="H263" i="4"/>
  <c r="A264" i="4"/>
  <c r="B264" i="4"/>
  <c r="C264" i="4"/>
  <c r="D264" i="4"/>
  <c r="E264" i="4"/>
  <c r="F264" i="4"/>
  <c r="G264" i="4"/>
  <c r="H264" i="4"/>
  <c r="A265" i="4"/>
  <c r="B265" i="4"/>
  <c r="C265" i="4"/>
  <c r="D265" i="4"/>
  <c r="E265" i="4"/>
  <c r="F265" i="4"/>
  <c r="G265" i="4"/>
  <c r="H265" i="4"/>
  <c r="A266" i="4"/>
  <c r="B266" i="4"/>
  <c r="C266" i="4"/>
  <c r="D266" i="4"/>
  <c r="E266" i="4"/>
  <c r="F266" i="4"/>
  <c r="G266" i="4"/>
  <c r="H266" i="4"/>
  <c r="A267" i="4"/>
  <c r="B267" i="4"/>
  <c r="C267" i="4"/>
  <c r="D267" i="4"/>
  <c r="E267" i="4"/>
  <c r="F267" i="4"/>
  <c r="G267" i="4"/>
  <c r="H267" i="4"/>
  <c r="A268" i="4"/>
  <c r="B268" i="4"/>
  <c r="C268" i="4"/>
  <c r="D268" i="4"/>
  <c r="E268" i="4"/>
  <c r="F268" i="4"/>
  <c r="G268" i="4"/>
  <c r="H268" i="4"/>
  <c r="A269" i="4"/>
  <c r="B269" i="4"/>
  <c r="C269" i="4"/>
  <c r="D269" i="4"/>
  <c r="E269" i="4"/>
  <c r="F269" i="4"/>
  <c r="G269" i="4"/>
  <c r="H269" i="4"/>
  <c r="A270" i="4"/>
  <c r="B270" i="4"/>
  <c r="C270" i="4"/>
  <c r="D270" i="4"/>
  <c r="E270" i="4"/>
  <c r="F270" i="4"/>
  <c r="G270" i="4"/>
  <c r="H270" i="4"/>
  <c r="A271" i="4"/>
  <c r="B271" i="4"/>
  <c r="C271" i="4"/>
  <c r="D271" i="4"/>
  <c r="E271" i="4"/>
  <c r="F271" i="4"/>
  <c r="G271" i="4"/>
  <c r="H271" i="4"/>
  <c r="A272" i="4"/>
  <c r="B272" i="4"/>
  <c r="C272" i="4"/>
  <c r="D272" i="4"/>
  <c r="E272" i="4"/>
  <c r="F272" i="4"/>
  <c r="G272" i="4"/>
  <c r="H272" i="4"/>
  <c r="A273" i="4"/>
  <c r="B273" i="4"/>
  <c r="C273" i="4"/>
  <c r="D273" i="4"/>
  <c r="E273" i="4"/>
  <c r="F273" i="4"/>
  <c r="G273" i="4"/>
  <c r="H273" i="4"/>
  <c r="A274" i="4"/>
  <c r="B274" i="4"/>
  <c r="C274" i="4"/>
  <c r="D274" i="4"/>
  <c r="E274" i="4"/>
  <c r="F274" i="4"/>
  <c r="G274" i="4"/>
  <c r="H274" i="4"/>
  <c r="A275" i="4"/>
  <c r="B275" i="4"/>
  <c r="C275" i="4"/>
  <c r="D275" i="4"/>
  <c r="E275" i="4"/>
  <c r="F275" i="4"/>
  <c r="G275" i="4"/>
  <c r="H275" i="4"/>
  <c r="A276" i="4"/>
  <c r="B276" i="4"/>
  <c r="C276" i="4"/>
  <c r="D276" i="4"/>
  <c r="E276" i="4"/>
  <c r="F276" i="4"/>
  <c r="G276" i="4"/>
  <c r="H276" i="4"/>
  <c r="A277" i="4"/>
  <c r="B277" i="4"/>
  <c r="C277" i="4"/>
  <c r="D277" i="4"/>
  <c r="E277" i="4"/>
  <c r="F277" i="4"/>
  <c r="G277" i="4"/>
  <c r="H277" i="4"/>
  <c r="A278" i="4"/>
  <c r="B278" i="4"/>
  <c r="C278" i="4"/>
  <c r="D278" i="4"/>
  <c r="E278" i="4"/>
  <c r="F278" i="4"/>
  <c r="G278" i="4"/>
  <c r="H278" i="4"/>
  <c r="A279" i="4"/>
  <c r="B279" i="4"/>
  <c r="C279" i="4"/>
  <c r="D279" i="4"/>
  <c r="E279" i="4"/>
  <c r="F279" i="4"/>
  <c r="G279" i="4"/>
  <c r="H279" i="4"/>
  <c r="A280" i="4"/>
  <c r="B280" i="4"/>
  <c r="C280" i="4"/>
  <c r="D280" i="4"/>
  <c r="E280" i="4"/>
  <c r="F280" i="4"/>
  <c r="G280" i="4"/>
  <c r="H280" i="4"/>
  <c r="A281" i="4"/>
  <c r="B281" i="4"/>
  <c r="C281" i="4"/>
  <c r="D281" i="4"/>
  <c r="E281" i="4"/>
  <c r="F281" i="4"/>
  <c r="G281" i="4"/>
  <c r="H281" i="4"/>
  <c r="A282" i="4"/>
  <c r="B282" i="4"/>
  <c r="C282" i="4"/>
  <c r="D282" i="4"/>
  <c r="E282" i="4"/>
  <c r="F282" i="4"/>
  <c r="G282" i="4"/>
  <c r="H282" i="4"/>
  <c r="A283" i="4"/>
  <c r="B283" i="4"/>
  <c r="C283" i="4"/>
  <c r="D283" i="4"/>
  <c r="E283" i="4"/>
  <c r="F283" i="4"/>
  <c r="G283" i="4"/>
  <c r="H283" i="4"/>
  <c r="A284" i="4"/>
  <c r="B284" i="4"/>
  <c r="C284" i="4"/>
  <c r="D284" i="4"/>
  <c r="E284" i="4"/>
  <c r="F284" i="4"/>
  <c r="G284" i="4"/>
  <c r="H284" i="4"/>
  <c r="A285" i="4"/>
  <c r="B285" i="4"/>
  <c r="C285" i="4"/>
  <c r="D285" i="4"/>
  <c r="E285" i="4"/>
  <c r="F285" i="4"/>
  <c r="G285" i="4"/>
  <c r="H285" i="4"/>
  <c r="A286" i="4"/>
  <c r="B286" i="4"/>
  <c r="C286" i="4"/>
  <c r="D286" i="4"/>
  <c r="E286" i="4"/>
  <c r="F286" i="4"/>
  <c r="G286" i="4"/>
  <c r="H286" i="4"/>
  <c r="A287" i="4"/>
  <c r="B287" i="4"/>
  <c r="C287" i="4"/>
  <c r="D287" i="4"/>
  <c r="E287" i="4"/>
  <c r="F287" i="4"/>
  <c r="G287" i="4"/>
  <c r="H287" i="4"/>
  <c r="A288" i="4"/>
  <c r="B288" i="4"/>
  <c r="C288" i="4"/>
  <c r="D288" i="4"/>
  <c r="E288" i="4"/>
  <c r="F288" i="4"/>
  <c r="G288" i="4"/>
  <c r="H288" i="4"/>
  <c r="A289" i="4"/>
  <c r="B289" i="4"/>
  <c r="C289" i="4"/>
  <c r="D289" i="4"/>
  <c r="E289" i="4"/>
  <c r="F289" i="4"/>
  <c r="G289" i="4"/>
  <c r="H289" i="4"/>
  <c r="A290" i="4"/>
  <c r="B290" i="4"/>
  <c r="C290" i="4"/>
  <c r="D290" i="4"/>
  <c r="E290" i="4"/>
  <c r="F290" i="4"/>
  <c r="G290" i="4"/>
  <c r="H290" i="4"/>
  <c r="A291" i="4"/>
  <c r="B291" i="4"/>
  <c r="C291" i="4"/>
  <c r="D291" i="4"/>
  <c r="E291" i="4"/>
  <c r="F291" i="4"/>
  <c r="G291" i="4"/>
  <c r="H291" i="4"/>
  <c r="A292" i="4"/>
  <c r="B292" i="4"/>
  <c r="C292" i="4"/>
  <c r="D292" i="4"/>
  <c r="E292" i="4"/>
  <c r="F292" i="4"/>
  <c r="G292" i="4"/>
  <c r="H292" i="4"/>
  <c r="A293" i="4"/>
  <c r="B293" i="4"/>
  <c r="C293" i="4"/>
  <c r="D293" i="4"/>
  <c r="E293" i="4"/>
  <c r="F293" i="4"/>
  <c r="G293" i="4"/>
  <c r="H293" i="4"/>
  <c r="A294" i="4"/>
  <c r="B294" i="4"/>
  <c r="C294" i="4"/>
  <c r="D294" i="4"/>
  <c r="E294" i="4"/>
  <c r="F294" i="4"/>
  <c r="G294" i="4"/>
  <c r="H294" i="4"/>
  <c r="A295" i="4"/>
  <c r="B295" i="4"/>
  <c r="C295" i="4"/>
  <c r="D295" i="4"/>
  <c r="E295" i="4"/>
  <c r="F295" i="4"/>
  <c r="G295" i="4"/>
  <c r="H295" i="4"/>
  <c r="A296" i="4"/>
  <c r="B296" i="4"/>
  <c r="C296" i="4"/>
  <c r="D296" i="4"/>
  <c r="E296" i="4"/>
  <c r="F296" i="4"/>
  <c r="G296" i="4"/>
  <c r="H296" i="4"/>
  <c r="A297" i="4"/>
  <c r="B297" i="4"/>
  <c r="C297" i="4"/>
  <c r="D297" i="4"/>
  <c r="E297" i="4"/>
  <c r="F297" i="4"/>
  <c r="G297" i="4"/>
  <c r="H297" i="4"/>
  <c r="A298" i="4"/>
  <c r="B298" i="4"/>
  <c r="C298" i="4"/>
  <c r="D298" i="4"/>
  <c r="E298" i="4"/>
  <c r="F298" i="4"/>
  <c r="G298" i="4"/>
  <c r="H298" i="4"/>
  <c r="A299" i="4"/>
  <c r="B299" i="4"/>
  <c r="C299" i="4"/>
  <c r="D299" i="4"/>
  <c r="E299" i="4"/>
  <c r="F299" i="4"/>
  <c r="G299" i="4"/>
  <c r="H299" i="4"/>
  <c r="A300" i="4"/>
  <c r="B300" i="4"/>
  <c r="C300" i="4"/>
  <c r="D300" i="4"/>
  <c r="E300" i="4"/>
  <c r="F300" i="4"/>
  <c r="G300" i="4"/>
  <c r="H300" i="4"/>
  <c r="A301" i="4"/>
  <c r="B301" i="4"/>
  <c r="C301" i="4"/>
  <c r="D301" i="4"/>
  <c r="E301" i="4"/>
  <c r="F301" i="4"/>
  <c r="G301" i="4"/>
  <c r="H301" i="4"/>
  <c r="A302" i="4"/>
  <c r="B302" i="4"/>
  <c r="C302" i="4"/>
  <c r="D302" i="4"/>
  <c r="E302" i="4"/>
  <c r="F302" i="4"/>
  <c r="G302" i="4"/>
  <c r="H302" i="4"/>
  <c r="A303" i="4"/>
  <c r="B303" i="4"/>
  <c r="C303" i="4"/>
  <c r="D303" i="4"/>
  <c r="E303" i="4"/>
  <c r="F303" i="4"/>
  <c r="G303" i="4"/>
  <c r="H303" i="4"/>
  <c r="A304" i="4"/>
  <c r="B304" i="4"/>
  <c r="C304" i="4"/>
  <c r="D304" i="4"/>
  <c r="E304" i="4"/>
  <c r="F304" i="4"/>
  <c r="G304" i="4"/>
  <c r="H304" i="4"/>
  <c r="A305" i="4"/>
  <c r="B305" i="4"/>
  <c r="C305" i="4"/>
  <c r="D305" i="4"/>
  <c r="E305" i="4"/>
  <c r="F305" i="4"/>
  <c r="G305" i="4"/>
  <c r="H305" i="4"/>
  <c r="A306" i="4"/>
  <c r="B306" i="4"/>
  <c r="C306" i="4"/>
  <c r="D306" i="4"/>
  <c r="E306" i="4"/>
  <c r="F306" i="4"/>
  <c r="G306" i="4"/>
  <c r="H306" i="4"/>
  <c r="A307" i="4"/>
  <c r="B307" i="4"/>
  <c r="C307" i="4"/>
  <c r="D307" i="4"/>
  <c r="E307" i="4"/>
  <c r="F307" i="4"/>
  <c r="G307" i="4"/>
  <c r="H307" i="4"/>
  <c r="A308" i="4"/>
  <c r="B308" i="4"/>
  <c r="C308" i="4"/>
  <c r="D308" i="4"/>
  <c r="E308" i="4"/>
  <c r="F308" i="4"/>
  <c r="G308" i="4"/>
  <c r="H308" i="4"/>
  <c r="A309" i="4"/>
  <c r="B309" i="4"/>
  <c r="C309" i="4"/>
  <c r="D309" i="4"/>
  <c r="E309" i="4"/>
  <c r="F309" i="4"/>
  <c r="G309" i="4"/>
  <c r="H309" i="4"/>
  <c r="A310" i="4"/>
  <c r="B310" i="4"/>
  <c r="C310" i="4"/>
  <c r="D310" i="4"/>
  <c r="E310" i="4"/>
  <c r="F310" i="4"/>
  <c r="G310" i="4"/>
  <c r="H310" i="4"/>
  <c r="A311" i="4"/>
  <c r="B311" i="4"/>
  <c r="C311" i="4"/>
  <c r="D311" i="4"/>
  <c r="E311" i="4"/>
  <c r="F311" i="4"/>
  <c r="G311" i="4"/>
  <c r="H311" i="4"/>
  <c r="A312" i="4"/>
  <c r="B312" i="4"/>
  <c r="C312" i="4"/>
  <c r="D312" i="4"/>
  <c r="E312" i="4"/>
  <c r="F312" i="4"/>
  <c r="G312" i="4"/>
  <c r="H312" i="4"/>
  <c r="A313" i="4"/>
  <c r="B313" i="4"/>
  <c r="C313" i="4"/>
  <c r="D313" i="4"/>
  <c r="E313" i="4"/>
  <c r="F313" i="4"/>
  <c r="G313" i="4"/>
  <c r="H313" i="4"/>
  <c r="A314" i="4"/>
  <c r="B314" i="4"/>
  <c r="C314" i="4"/>
  <c r="D314" i="4"/>
  <c r="E314" i="4"/>
  <c r="F314" i="4"/>
  <c r="G314" i="4"/>
  <c r="H314" i="4"/>
  <c r="A315" i="4"/>
  <c r="B315" i="4"/>
  <c r="C315" i="4"/>
  <c r="D315" i="4"/>
  <c r="E315" i="4"/>
  <c r="F315" i="4"/>
  <c r="G315" i="4"/>
  <c r="H315" i="4"/>
  <c r="A316" i="4"/>
  <c r="B316" i="4"/>
  <c r="C316" i="4"/>
  <c r="D316" i="4"/>
  <c r="E316" i="4"/>
  <c r="F316" i="4"/>
  <c r="G316" i="4"/>
  <c r="H316" i="4"/>
  <c r="A317" i="4"/>
  <c r="B317" i="4"/>
  <c r="C317" i="4"/>
  <c r="D317" i="4"/>
  <c r="E317" i="4"/>
  <c r="F317" i="4"/>
  <c r="G317" i="4"/>
  <c r="H317" i="4"/>
  <c r="A318" i="4"/>
  <c r="B318" i="4"/>
  <c r="C318" i="4"/>
  <c r="D318" i="4"/>
  <c r="E318" i="4"/>
  <c r="F318" i="4"/>
  <c r="G318" i="4"/>
  <c r="H318" i="4"/>
  <c r="H1" i="4"/>
  <c r="G1" i="4"/>
  <c r="B1" i="4"/>
  <c r="C1" i="4"/>
  <c r="D1" i="4"/>
  <c r="E1" i="4"/>
  <c r="F1" i="4"/>
  <c r="A1" i="4"/>
  <c r="K32" i="4"/>
  <c r="K36" i="4"/>
  <c r="K40" i="4"/>
  <c r="K44" i="4"/>
  <c r="K48" i="4"/>
  <c r="K52" i="4"/>
  <c r="K56" i="4"/>
  <c r="K60" i="4"/>
  <c r="K64" i="4"/>
  <c r="K68" i="4"/>
  <c r="K72" i="4"/>
  <c r="K76" i="4"/>
  <c r="K80" i="4"/>
  <c r="K84" i="4"/>
  <c r="K88" i="4"/>
  <c r="K92" i="4"/>
  <c r="K96" i="4"/>
  <c r="K100" i="4"/>
  <c r="K104" i="4"/>
  <c r="K108" i="4"/>
  <c r="K112" i="4"/>
  <c r="K116" i="4"/>
  <c r="K120" i="4"/>
  <c r="K124" i="4"/>
  <c r="K128" i="4"/>
  <c r="K132" i="4"/>
  <c r="K136" i="4"/>
  <c r="K140" i="4"/>
  <c r="K144" i="4"/>
  <c r="K148" i="4"/>
  <c r="K152" i="4"/>
  <c r="K156" i="4"/>
  <c r="K160" i="4"/>
  <c r="K164" i="4"/>
  <c r="K168" i="4"/>
  <c r="K172" i="4"/>
  <c r="K176" i="4"/>
  <c r="K180" i="4"/>
  <c r="K184" i="4"/>
  <c r="K188" i="4"/>
  <c r="K192" i="4"/>
  <c r="K196" i="4"/>
  <c r="K200" i="4"/>
  <c r="K204" i="4"/>
  <c r="K208" i="4"/>
  <c r="K212" i="4"/>
  <c r="K216" i="4"/>
  <c r="K220" i="4"/>
  <c r="K224" i="4"/>
  <c r="K228" i="4"/>
  <c r="K232" i="4"/>
  <c r="K236" i="4"/>
  <c r="K240" i="4"/>
  <c r="K244" i="4"/>
  <c r="K248" i="4"/>
  <c r="K252" i="4"/>
  <c r="K256" i="4"/>
  <c r="K260" i="4"/>
  <c r="K264" i="4"/>
  <c r="K268" i="4"/>
  <c r="K272" i="4"/>
  <c r="K276" i="4"/>
  <c r="K280" i="4"/>
  <c r="K284" i="4"/>
  <c r="K288" i="4"/>
  <c r="K292" i="4"/>
  <c r="K296" i="4"/>
  <c r="K300" i="4"/>
  <c r="K304" i="4"/>
  <c r="K308" i="4"/>
  <c r="K312" i="4"/>
  <c r="K316" i="4"/>
  <c r="K43" i="4"/>
  <c r="K51" i="4"/>
  <c r="K55" i="4"/>
  <c r="K71" i="4"/>
  <c r="K83" i="4"/>
  <c r="K91" i="4"/>
  <c r="K107" i="4"/>
  <c r="K119" i="4"/>
  <c r="K131" i="4"/>
  <c r="K139" i="4"/>
  <c r="K151" i="4"/>
  <c r="K163" i="4"/>
  <c r="K175" i="4"/>
  <c r="K187" i="4"/>
  <c r="K199" i="4"/>
  <c r="K211" i="4"/>
  <c r="K227" i="4"/>
  <c r="K239" i="4"/>
  <c r="K251" i="4"/>
  <c r="K263" i="4"/>
  <c r="K275" i="4"/>
  <c r="K287" i="4"/>
  <c r="K295" i="4"/>
  <c r="K311" i="4"/>
  <c r="K33" i="4"/>
  <c r="K37" i="4"/>
  <c r="K41" i="4"/>
  <c r="K45" i="4"/>
  <c r="K49" i="4"/>
  <c r="K53" i="4"/>
  <c r="K57" i="4"/>
  <c r="K61" i="4"/>
  <c r="K65" i="4"/>
  <c r="K69" i="4"/>
  <c r="K73" i="4"/>
  <c r="K77" i="4"/>
  <c r="K81" i="4"/>
  <c r="K85" i="4"/>
  <c r="K89" i="4"/>
  <c r="K93" i="4"/>
  <c r="K97" i="4"/>
  <c r="K101" i="4"/>
  <c r="K105" i="4"/>
  <c r="K109" i="4"/>
  <c r="K113" i="4"/>
  <c r="K117" i="4"/>
  <c r="K121" i="4"/>
  <c r="K125" i="4"/>
  <c r="K129" i="4"/>
  <c r="K133" i="4"/>
  <c r="K137" i="4"/>
  <c r="K141" i="4"/>
  <c r="K145" i="4"/>
  <c r="K149" i="4"/>
  <c r="K153" i="4"/>
  <c r="K157" i="4"/>
  <c r="K161" i="4"/>
  <c r="K165" i="4"/>
  <c r="K169" i="4"/>
  <c r="K173" i="4"/>
  <c r="K177" i="4"/>
  <c r="K181" i="4"/>
  <c r="K185" i="4"/>
  <c r="K189" i="4"/>
  <c r="K193" i="4"/>
  <c r="K197" i="4"/>
  <c r="K201" i="4"/>
  <c r="K205" i="4"/>
  <c r="K209" i="4"/>
  <c r="K213" i="4"/>
  <c r="K217" i="4"/>
  <c r="K221" i="4"/>
  <c r="K225" i="4"/>
  <c r="K229" i="4"/>
  <c r="K233" i="4"/>
  <c r="K237" i="4"/>
  <c r="K241" i="4"/>
  <c r="K245" i="4"/>
  <c r="K249" i="4"/>
  <c r="K253" i="4"/>
  <c r="K257" i="4"/>
  <c r="K261" i="4"/>
  <c r="K265" i="4"/>
  <c r="K269" i="4"/>
  <c r="K273" i="4"/>
  <c r="K277" i="4"/>
  <c r="K281" i="4"/>
  <c r="K285" i="4"/>
  <c r="K289" i="4"/>
  <c r="K293" i="4"/>
  <c r="K297" i="4"/>
  <c r="K301" i="4"/>
  <c r="K305" i="4"/>
  <c r="K309" i="4"/>
  <c r="K313" i="4"/>
  <c r="K317" i="4"/>
  <c r="K39" i="4"/>
  <c r="K63" i="4"/>
  <c r="K75" i="4"/>
  <c r="K87" i="4"/>
  <c r="K99" i="4"/>
  <c r="K111" i="4"/>
  <c r="K123" i="4"/>
  <c r="K135" i="4"/>
  <c r="K147" i="4"/>
  <c r="K159" i="4"/>
  <c r="K171" i="4"/>
  <c r="K183" i="4"/>
  <c r="K195" i="4"/>
  <c r="K207" i="4"/>
  <c r="K219" i="4"/>
  <c r="K231" i="4"/>
  <c r="K243" i="4"/>
  <c r="K255" i="4"/>
  <c r="K267" i="4"/>
  <c r="K279" i="4"/>
  <c r="K291" i="4"/>
  <c r="K303" i="4"/>
  <c r="K315" i="4"/>
  <c r="K34" i="4"/>
  <c r="K38" i="4"/>
  <c r="K42" i="4"/>
  <c r="K46" i="4"/>
  <c r="K50" i="4"/>
  <c r="K54" i="4"/>
  <c r="K58" i="4"/>
  <c r="K62" i="4"/>
  <c r="K66" i="4"/>
  <c r="K70" i="4"/>
  <c r="K74" i="4"/>
  <c r="K78" i="4"/>
  <c r="K82" i="4"/>
  <c r="K86" i="4"/>
  <c r="K90" i="4"/>
  <c r="K94" i="4"/>
  <c r="K98" i="4"/>
  <c r="K102" i="4"/>
  <c r="K106" i="4"/>
  <c r="K110" i="4"/>
  <c r="K114" i="4"/>
  <c r="K118" i="4"/>
  <c r="K122" i="4"/>
  <c r="K126" i="4"/>
  <c r="K130" i="4"/>
  <c r="K134" i="4"/>
  <c r="K138" i="4"/>
  <c r="K142" i="4"/>
  <c r="K146" i="4"/>
  <c r="K150" i="4"/>
  <c r="K154" i="4"/>
  <c r="K158" i="4"/>
  <c r="K162" i="4"/>
  <c r="K166" i="4"/>
  <c r="K170" i="4"/>
  <c r="K174" i="4"/>
  <c r="K178" i="4"/>
  <c r="K182" i="4"/>
  <c r="K186" i="4"/>
  <c r="K190" i="4"/>
  <c r="K194" i="4"/>
  <c r="K198" i="4"/>
  <c r="K202" i="4"/>
  <c r="K206" i="4"/>
  <c r="K210" i="4"/>
  <c r="K214" i="4"/>
  <c r="K218" i="4"/>
  <c r="K222" i="4"/>
  <c r="K226" i="4"/>
  <c r="K230" i="4"/>
  <c r="K234" i="4"/>
  <c r="K238" i="4"/>
  <c r="K242" i="4"/>
  <c r="K246" i="4"/>
  <c r="K250" i="4"/>
  <c r="K254" i="4"/>
  <c r="K258" i="4"/>
  <c r="K262" i="4"/>
  <c r="K266" i="4"/>
  <c r="K270" i="4"/>
  <c r="K274" i="4"/>
  <c r="K278" i="4"/>
  <c r="K282" i="4"/>
  <c r="K286" i="4"/>
  <c r="K290" i="4"/>
  <c r="K294" i="4"/>
  <c r="K298" i="4"/>
  <c r="K302" i="4"/>
  <c r="K306" i="4"/>
  <c r="K310" i="4"/>
  <c r="K314" i="4"/>
  <c r="K318" i="4"/>
  <c r="K35" i="4"/>
  <c r="K47" i="4"/>
  <c r="K59" i="4"/>
  <c r="K67" i="4"/>
  <c r="K79" i="4"/>
  <c r="K95" i="4"/>
  <c r="K103" i="4"/>
  <c r="K115" i="4"/>
  <c r="K127" i="4"/>
  <c r="K143" i="4"/>
  <c r="K155" i="4"/>
  <c r="K167" i="4"/>
  <c r="K179" i="4"/>
  <c r="K191" i="4"/>
  <c r="K203" i="4"/>
  <c r="K215" i="4"/>
  <c r="K223" i="4"/>
  <c r="K235" i="4"/>
  <c r="K247" i="4"/>
  <c r="K259" i="4"/>
  <c r="K271" i="4"/>
  <c r="K283" i="4"/>
  <c r="K299" i="4"/>
  <c r="K307" i="4"/>
  <c r="K31" i="4"/>
  <c r="J32" i="4"/>
  <c r="J36" i="4"/>
  <c r="J40" i="4"/>
  <c r="J44" i="4"/>
  <c r="J48" i="4"/>
  <c r="J52" i="4"/>
  <c r="J56" i="4"/>
  <c r="J60" i="4"/>
  <c r="J64" i="4"/>
  <c r="J68" i="4"/>
  <c r="J72" i="4"/>
  <c r="J76" i="4"/>
  <c r="J80" i="4"/>
  <c r="J84" i="4"/>
  <c r="J88" i="4"/>
  <c r="J92" i="4"/>
  <c r="J96" i="4"/>
  <c r="J100" i="4"/>
  <c r="J104" i="4"/>
  <c r="J108" i="4"/>
  <c r="J112" i="4"/>
  <c r="J116" i="4"/>
  <c r="J120" i="4"/>
  <c r="J124" i="4"/>
  <c r="J128" i="4"/>
  <c r="J132" i="4"/>
  <c r="J136" i="4"/>
  <c r="J140" i="4"/>
  <c r="J144" i="4"/>
  <c r="J148" i="4"/>
  <c r="J152" i="4"/>
  <c r="J156" i="4"/>
  <c r="J160" i="4"/>
  <c r="J164" i="4"/>
  <c r="J168" i="4"/>
  <c r="J172" i="4"/>
  <c r="J176" i="4"/>
  <c r="J180" i="4"/>
  <c r="J184" i="4"/>
  <c r="J188" i="4"/>
  <c r="J192" i="4"/>
  <c r="J196" i="4"/>
  <c r="J200" i="4"/>
  <c r="J204" i="4"/>
  <c r="J208" i="4"/>
  <c r="J212" i="4"/>
  <c r="J216" i="4"/>
  <c r="J220" i="4"/>
  <c r="J224" i="4"/>
  <c r="J228" i="4"/>
  <c r="J232" i="4"/>
  <c r="J236" i="4"/>
  <c r="J240" i="4"/>
  <c r="J244" i="4"/>
  <c r="J248" i="4"/>
  <c r="J252" i="4"/>
  <c r="J256" i="4"/>
  <c r="J260" i="4"/>
  <c r="J264" i="4"/>
  <c r="J268" i="4"/>
  <c r="J272" i="4"/>
  <c r="J276" i="4"/>
  <c r="J280" i="4"/>
  <c r="J284" i="4"/>
  <c r="J288" i="4"/>
  <c r="J292" i="4"/>
  <c r="J296" i="4"/>
  <c r="J300" i="4"/>
  <c r="J304" i="4"/>
  <c r="J308" i="4"/>
  <c r="J312" i="4"/>
  <c r="J316" i="4"/>
  <c r="J38" i="4"/>
  <c r="J42" i="4"/>
  <c r="J46" i="4"/>
  <c r="J50" i="4"/>
  <c r="J54" i="4"/>
  <c r="J58" i="4"/>
  <c r="J62" i="4"/>
  <c r="J66" i="4"/>
  <c r="J70" i="4"/>
  <c r="J74" i="4"/>
  <c r="J78" i="4"/>
  <c r="J82" i="4"/>
  <c r="J86" i="4"/>
  <c r="J90" i="4"/>
  <c r="J94" i="4"/>
  <c r="J98" i="4"/>
  <c r="J102" i="4"/>
  <c r="J106" i="4"/>
  <c r="J110" i="4"/>
  <c r="J114" i="4"/>
  <c r="J118" i="4"/>
  <c r="J122" i="4"/>
  <c r="J126" i="4"/>
  <c r="J130" i="4"/>
  <c r="J134" i="4"/>
  <c r="J138" i="4"/>
  <c r="J142" i="4"/>
  <c r="J146" i="4"/>
  <c r="J150" i="4"/>
  <c r="J154" i="4"/>
  <c r="J158" i="4"/>
  <c r="J166" i="4"/>
  <c r="J170" i="4"/>
  <c r="J174" i="4"/>
  <c r="J182" i="4"/>
  <c r="J190" i="4"/>
  <c r="J198" i="4"/>
  <c r="J206" i="4"/>
  <c r="J218" i="4"/>
  <c r="J226" i="4"/>
  <c r="J234" i="4"/>
  <c r="J246" i="4"/>
  <c r="J254" i="4"/>
  <c r="J262" i="4"/>
  <c r="J274" i="4"/>
  <c r="J282" i="4"/>
  <c r="J290" i="4"/>
  <c r="J302" i="4"/>
  <c r="J310" i="4"/>
  <c r="J318" i="4"/>
  <c r="J35" i="4"/>
  <c r="J43" i="4"/>
  <c r="J47" i="4"/>
  <c r="J55" i="4"/>
  <c r="J63" i="4"/>
  <c r="J33" i="4"/>
  <c r="J37" i="4"/>
  <c r="J41" i="4"/>
  <c r="J45" i="4"/>
  <c r="J49" i="4"/>
  <c r="J53" i="4"/>
  <c r="J57" i="4"/>
  <c r="J61" i="4"/>
  <c r="J65" i="4"/>
  <c r="J69" i="4"/>
  <c r="J73" i="4"/>
  <c r="J77" i="4"/>
  <c r="J81" i="4"/>
  <c r="J85" i="4"/>
  <c r="J89" i="4"/>
  <c r="J93" i="4"/>
  <c r="J97" i="4"/>
  <c r="J101" i="4"/>
  <c r="J105" i="4"/>
  <c r="J109" i="4"/>
  <c r="J113" i="4"/>
  <c r="J117" i="4"/>
  <c r="J121" i="4"/>
  <c r="J125" i="4"/>
  <c r="J129" i="4"/>
  <c r="J133" i="4"/>
  <c r="J137" i="4"/>
  <c r="J141" i="4"/>
  <c r="J145" i="4"/>
  <c r="J149" i="4"/>
  <c r="J153" i="4"/>
  <c r="J157" i="4"/>
  <c r="J161" i="4"/>
  <c r="J165" i="4"/>
  <c r="J169" i="4"/>
  <c r="J173" i="4"/>
  <c r="J177" i="4"/>
  <c r="J181" i="4"/>
  <c r="J185" i="4"/>
  <c r="J189" i="4"/>
  <c r="J193" i="4"/>
  <c r="J197" i="4"/>
  <c r="J201" i="4"/>
  <c r="J205" i="4"/>
  <c r="J209" i="4"/>
  <c r="J213" i="4"/>
  <c r="J217" i="4"/>
  <c r="J221" i="4"/>
  <c r="J225" i="4"/>
  <c r="J229" i="4"/>
  <c r="J233" i="4"/>
  <c r="J237" i="4"/>
  <c r="J241" i="4"/>
  <c r="J245" i="4"/>
  <c r="J249" i="4"/>
  <c r="J253" i="4"/>
  <c r="J257" i="4"/>
  <c r="J261" i="4"/>
  <c r="J265" i="4"/>
  <c r="J269" i="4"/>
  <c r="J273" i="4"/>
  <c r="J277" i="4"/>
  <c r="J281" i="4"/>
  <c r="J285" i="4"/>
  <c r="J289" i="4"/>
  <c r="J293" i="4"/>
  <c r="J297" i="4"/>
  <c r="J301" i="4"/>
  <c r="J305" i="4"/>
  <c r="J309" i="4"/>
  <c r="J313" i="4"/>
  <c r="J317" i="4"/>
  <c r="J34" i="4"/>
  <c r="J162" i="4"/>
  <c r="J178" i="4"/>
  <c r="J186" i="4"/>
  <c r="J194" i="4"/>
  <c r="J202" i="4"/>
  <c r="J210" i="4"/>
  <c r="J214" i="4"/>
  <c r="J222" i="4"/>
  <c r="J230" i="4"/>
  <c r="J238" i="4"/>
  <c r="J242" i="4"/>
  <c r="J250" i="4"/>
  <c r="J258" i="4"/>
  <c r="J266" i="4"/>
  <c r="J270" i="4"/>
  <c r="J278" i="4"/>
  <c r="J286" i="4"/>
  <c r="J294" i="4"/>
  <c r="J298" i="4"/>
  <c r="J306" i="4"/>
  <c r="J314" i="4"/>
  <c r="J39" i="4"/>
  <c r="J51" i="4"/>
  <c r="J59" i="4"/>
  <c r="J67" i="4"/>
  <c r="J71" i="4"/>
  <c r="J87" i="4"/>
  <c r="J103" i="4"/>
  <c r="J119" i="4"/>
  <c r="J135" i="4"/>
  <c r="J151" i="4"/>
  <c r="J167" i="4"/>
  <c r="J183" i="4"/>
  <c r="J199" i="4"/>
  <c r="J215" i="4"/>
  <c r="J231" i="4"/>
  <c r="J247" i="4"/>
  <c r="J263" i="4"/>
  <c r="J279" i="4"/>
  <c r="J295" i="4"/>
  <c r="J311" i="4"/>
  <c r="J283" i="4"/>
  <c r="J299" i="4"/>
  <c r="J315" i="4"/>
  <c r="J79" i="4"/>
  <c r="J95" i="4"/>
  <c r="J111" i="4"/>
  <c r="J127" i="4"/>
  <c r="J143" i="4"/>
  <c r="J159" i="4"/>
  <c r="J175" i="4"/>
  <c r="J191" i="4"/>
  <c r="J207" i="4"/>
  <c r="J223" i="4"/>
  <c r="J239" i="4"/>
  <c r="J255" i="4"/>
  <c r="J271" i="4"/>
  <c r="J287" i="4"/>
  <c r="J303" i="4"/>
  <c r="J83" i="4"/>
  <c r="J99" i="4"/>
  <c r="J115" i="4"/>
  <c r="J131" i="4"/>
  <c r="J147" i="4"/>
  <c r="J163" i="4"/>
  <c r="J179" i="4"/>
  <c r="J195" i="4"/>
  <c r="J211" i="4"/>
  <c r="J227" i="4"/>
  <c r="J243" i="4"/>
  <c r="J259" i="4"/>
  <c r="J275" i="4"/>
  <c r="J291" i="4"/>
  <c r="J307" i="4"/>
  <c r="J75" i="4"/>
  <c r="J91" i="4"/>
  <c r="J107" i="4"/>
  <c r="J123" i="4"/>
  <c r="J139" i="4"/>
  <c r="J155" i="4"/>
  <c r="J171" i="4"/>
  <c r="J187" i="4"/>
  <c r="J203" i="4"/>
  <c r="J219" i="4"/>
  <c r="J235" i="4"/>
  <c r="J251" i="4"/>
  <c r="J267" i="4"/>
  <c r="J31" i="4"/>
  <c r="N11" i="4" l="1"/>
  <c r="N14" i="4" s="1"/>
  <c r="L6" i="3"/>
  <c r="M6" i="3"/>
  <c r="N6" i="3"/>
  <c r="K6" i="3"/>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2" i="3"/>
  <c r="L15" i="3"/>
  <c r="L14" i="3"/>
  <c r="L11" i="3"/>
  <c r="L10" i="3"/>
  <c r="M1" i="3"/>
  <c r="L1" i="3"/>
  <c r="K1" i="3"/>
  <c r="A2" i="3"/>
  <c r="B2" i="3"/>
  <c r="C2" i="3"/>
  <c r="D2" i="3"/>
  <c r="E2" i="3"/>
  <c r="F2" i="3"/>
  <c r="G2" i="3"/>
  <c r="H2" i="3"/>
  <c r="A3" i="3"/>
  <c r="B3" i="3"/>
  <c r="C3" i="3"/>
  <c r="D3" i="3"/>
  <c r="E3" i="3"/>
  <c r="F3" i="3"/>
  <c r="G3" i="3"/>
  <c r="H3" i="3"/>
  <c r="A4" i="3"/>
  <c r="B4" i="3"/>
  <c r="C4" i="3"/>
  <c r="D4" i="3"/>
  <c r="E4" i="3"/>
  <c r="F4" i="3"/>
  <c r="G4" i="3"/>
  <c r="H4" i="3"/>
  <c r="A5" i="3"/>
  <c r="B5" i="3"/>
  <c r="C5" i="3"/>
  <c r="D5" i="3"/>
  <c r="E5" i="3"/>
  <c r="F5" i="3"/>
  <c r="G5" i="3"/>
  <c r="H5" i="3"/>
  <c r="A6" i="3"/>
  <c r="B6" i="3"/>
  <c r="C6" i="3"/>
  <c r="D6" i="3"/>
  <c r="E6" i="3"/>
  <c r="F6" i="3"/>
  <c r="G6" i="3"/>
  <c r="H6" i="3"/>
  <c r="A7" i="3"/>
  <c r="B7" i="3"/>
  <c r="C7" i="3"/>
  <c r="D7" i="3"/>
  <c r="E7" i="3"/>
  <c r="F7" i="3"/>
  <c r="G7" i="3"/>
  <c r="H7" i="3"/>
  <c r="A8" i="3"/>
  <c r="B8" i="3"/>
  <c r="C8" i="3"/>
  <c r="D8" i="3"/>
  <c r="E8" i="3"/>
  <c r="F8" i="3"/>
  <c r="G8" i="3"/>
  <c r="H8" i="3"/>
  <c r="A9" i="3"/>
  <c r="B9" i="3"/>
  <c r="C9" i="3"/>
  <c r="D9" i="3"/>
  <c r="E9" i="3"/>
  <c r="F9" i="3"/>
  <c r="G9" i="3"/>
  <c r="H9" i="3"/>
  <c r="A10" i="3"/>
  <c r="B10" i="3"/>
  <c r="C10" i="3"/>
  <c r="D10" i="3"/>
  <c r="E10" i="3"/>
  <c r="F10" i="3"/>
  <c r="G10" i="3"/>
  <c r="H10" i="3"/>
  <c r="A11" i="3"/>
  <c r="B11" i="3"/>
  <c r="C11" i="3"/>
  <c r="D11" i="3"/>
  <c r="E11" i="3"/>
  <c r="F11" i="3"/>
  <c r="G11" i="3"/>
  <c r="H11" i="3"/>
  <c r="A12" i="3"/>
  <c r="B12" i="3"/>
  <c r="C12" i="3"/>
  <c r="D12" i="3"/>
  <c r="E12" i="3"/>
  <c r="F12" i="3"/>
  <c r="G12" i="3"/>
  <c r="H12" i="3"/>
  <c r="A13" i="3"/>
  <c r="B13" i="3"/>
  <c r="C13" i="3"/>
  <c r="D13" i="3"/>
  <c r="E13" i="3"/>
  <c r="F13" i="3"/>
  <c r="G13" i="3"/>
  <c r="H13" i="3"/>
  <c r="A14" i="3"/>
  <c r="B14" i="3"/>
  <c r="C14" i="3"/>
  <c r="D14" i="3"/>
  <c r="E14" i="3"/>
  <c r="F14" i="3"/>
  <c r="G14" i="3"/>
  <c r="H14" i="3"/>
  <c r="A15" i="3"/>
  <c r="B15" i="3"/>
  <c r="C15" i="3"/>
  <c r="D15" i="3"/>
  <c r="E15" i="3"/>
  <c r="F15" i="3"/>
  <c r="G15" i="3"/>
  <c r="H15" i="3"/>
  <c r="A16" i="3"/>
  <c r="B16" i="3"/>
  <c r="C16" i="3"/>
  <c r="D16" i="3"/>
  <c r="E16" i="3"/>
  <c r="F16" i="3"/>
  <c r="G16" i="3"/>
  <c r="H16" i="3"/>
  <c r="A17" i="3"/>
  <c r="B17" i="3"/>
  <c r="C17" i="3"/>
  <c r="D17" i="3"/>
  <c r="E17" i="3"/>
  <c r="F17" i="3"/>
  <c r="G17" i="3"/>
  <c r="H17" i="3"/>
  <c r="A18" i="3"/>
  <c r="B18" i="3"/>
  <c r="C18" i="3"/>
  <c r="D18" i="3"/>
  <c r="E18" i="3"/>
  <c r="F18" i="3"/>
  <c r="G18" i="3"/>
  <c r="H18" i="3"/>
  <c r="A19" i="3"/>
  <c r="B19" i="3"/>
  <c r="C19" i="3"/>
  <c r="D19" i="3"/>
  <c r="E19" i="3"/>
  <c r="F19" i="3"/>
  <c r="G19" i="3"/>
  <c r="H19" i="3"/>
  <c r="A20" i="3"/>
  <c r="B20" i="3"/>
  <c r="C20" i="3"/>
  <c r="D20" i="3"/>
  <c r="E20" i="3"/>
  <c r="F20" i="3"/>
  <c r="G20" i="3"/>
  <c r="H20" i="3"/>
  <c r="A21" i="3"/>
  <c r="B21" i="3"/>
  <c r="C21" i="3"/>
  <c r="D21" i="3"/>
  <c r="E21" i="3"/>
  <c r="F21" i="3"/>
  <c r="G21" i="3"/>
  <c r="H21" i="3"/>
  <c r="A22" i="3"/>
  <c r="B22" i="3"/>
  <c r="C22" i="3"/>
  <c r="D22" i="3"/>
  <c r="E22" i="3"/>
  <c r="F22" i="3"/>
  <c r="G22" i="3"/>
  <c r="H22" i="3"/>
  <c r="A23" i="3"/>
  <c r="B23" i="3"/>
  <c r="C23" i="3"/>
  <c r="D23" i="3"/>
  <c r="E23" i="3"/>
  <c r="F23" i="3"/>
  <c r="G23" i="3"/>
  <c r="H23" i="3"/>
  <c r="A24" i="3"/>
  <c r="B24" i="3"/>
  <c r="C24" i="3"/>
  <c r="D24" i="3"/>
  <c r="E24" i="3"/>
  <c r="F24" i="3"/>
  <c r="G24" i="3"/>
  <c r="H24" i="3"/>
  <c r="A25" i="3"/>
  <c r="B25" i="3"/>
  <c r="C25" i="3"/>
  <c r="D25" i="3"/>
  <c r="E25" i="3"/>
  <c r="F25" i="3"/>
  <c r="G25" i="3"/>
  <c r="H25" i="3"/>
  <c r="A26" i="3"/>
  <c r="B26" i="3"/>
  <c r="C26" i="3"/>
  <c r="D26" i="3"/>
  <c r="E26" i="3"/>
  <c r="F26" i="3"/>
  <c r="G26" i="3"/>
  <c r="H26" i="3"/>
  <c r="A27" i="3"/>
  <c r="B27" i="3"/>
  <c r="C27" i="3"/>
  <c r="D27" i="3"/>
  <c r="E27" i="3"/>
  <c r="F27" i="3"/>
  <c r="G27" i="3"/>
  <c r="H27" i="3"/>
  <c r="A28" i="3"/>
  <c r="B28" i="3"/>
  <c r="C28" i="3"/>
  <c r="D28" i="3"/>
  <c r="E28" i="3"/>
  <c r="F28" i="3"/>
  <c r="G28" i="3"/>
  <c r="H28" i="3"/>
  <c r="A29" i="3"/>
  <c r="B29" i="3"/>
  <c r="C29" i="3"/>
  <c r="D29" i="3"/>
  <c r="E29" i="3"/>
  <c r="F29" i="3"/>
  <c r="G29" i="3"/>
  <c r="H29" i="3"/>
  <c r="A30" i="3"/>
  <c r="B30" i="3"/>
  <c r="C30" i="3"/>
  <c r="D30" i="3"/>
  <c r="E30" i="3"/>
  <c r="F30" i="3"/>
  <c r="G30" i="3"/>
  <c r="H30" i="3"/>
  <c r="A31" i="3"/>
  <c r="B31" i="3"/>
  <c r="C31" i="3"/>
  <c r="D31" i="3"/>
  <c r="E31" i="3"/>
  <c r="F31" i="3"/>
  <c r="G31" i="3"/>
  <c r="H31" i="3"/>
  <c r="A32" i="3"/>
  <c r="B32" i="3"/>
  <c r="C32" i="3"/>
  <c r="D32" i="3"/>
  <c r="E32" i="3"/>
  <c r="F32" i="3"/>
  <c r="G32" i="3"/>
  <c r="H32" i="3"/>
  <c r="A33" i="3"/>
  <c r="B33" i="3"/>
  <c r="C33" i="3"/>
  <c r="D33" i="3"/>
  <c r="E33" i="3"/>
  <c r="F33" i="3"/>
  <c r="G33" i="3"/>
  <c r="H33" i="3"/>
  <c r="A34" i="3"/>
  <c r="B34" i="3"/>
  <c r="C34" i="3"/>
  <c r="D34" i="3"/>
  <c r="E34" i="3"/>
  <c r="F34" i="3"/>
  <c r="G34" i="3"/>
  <c r="H34" i="3"/>
  <c r="A35" i="3"/>
  <c r="B35" i="3"/>
  <c r="C35" i="3"/>
  <c r="D35" i="3"/>
  <c r="E35" i="3"/>
  <c r="F35" i="3"/>
  <c r="G35" i="3"/>
  <c r="H35" i="3"/>
  <c r="A36" i="3"/>
  <c r="B36" i="3"/>
  <c r="C36" i="3"/>
  <c r="D36" i="3"/>
  <c r="E36" i="3"/>
  <c r="F36" i="3"/>
  <c r="G36" i="3"/>
  <c r="H36" i="3"/>
  <c r="A37" i="3"/>
  <c r="B37" i="3"/>
  <c r="C37" i="3"/>
  <c r="D37" i="3"/>
  <c r="E37" i="3"/>
  <c r="F37" i="3"/>
  <c r="G37" i="3"/>
  <c r="H37" i="3"/>
  <c r="A38" i="3"/>
  <c r="B38" i="3"/>
  <c r="C38" i="3"/>
  <c r="D38" i="3"/>
  <c r="E38" i="3"/>
  <c r="F38" i="3"/>
  <c r="G38" i="3"/>
  <c r="H38" i="3"/>
  <c r="A39" i="3"/>
  <c r="B39" i="3"/>
  <c r="C39" i="3"/>
  <c r="D39" i="3"/>
  <c r="E39" i="3"/>
  <c r="F39" i="3"/>
  <c r="G39" i="3"/>
  <c r="H39" i="3"/>
  <c r="A40" i="3"/>
  <c r="B40" i="3"/>
  <c r="C40" i="3"/>
  <c r="D40" i="3"/>
  <c r="E40" i="3"/>
  <c r="F40" i="3"/>
  <c r="G40" i="3"/>
  <c r="H40" i="3"/>
  <c r="A41" i="3"/>
  <c r="B41" i="3"/>
  <c r="C41" i="3"/>
  <c r="D41" i="3"/>
  <c r="E41" i="3"/>
  <c r="F41" i="3"/>
  <c r="G41" i="3"/>
  <c r="H41" i="3"/>
  <c r="A42" i="3"/>
  <c r="B42" i="3"/>
  <c r="C42" i="3"/>
  <c r="D42" i="3"/>
  <c r="E42" i="3"/>
  <c r="F42" i="3"/>
  <c r="G42" i="3"/>
  <c r="H42" i="3"/>
  <c r="A43" i="3"/>
  <c r="B43" i="3"/>
  <c r="C43" i="3"/>
  <c r="D43" i="3"/>
  <c r="E43" i="3"/>
  <c r="F43" i="3"/>
  <c r="G43" i="3"/>
  <c r="H43" i="3"/>
  <c r="A44" i="3"/>
  <c r="B44" i="3"/>
  <c r="C44" i="3"/>
  <c r="D44" i="3"/>
  <c r="E44" i="3"/>
  <c r="F44" i="3"/>
  <c r="G44" i="3"/>
  <c r="H44" i="3"/>
  <c r="A45" i="3"/>
  <c r="B45" i="3"/>
  <c r="C45" i="3"/>
  <c r="D45" i="3"/>
  <c r="E45" i="3"/>
  <c r="F45" i="3"/>
  <c r="G45" i="3"/>
  <c r="H45" i="3"/>
  <c r="A46" i="3"/>
  <c r="B46" i="3"/>
  <c r="C46" i="3"/>
  <c r="D46" i="3"/>
  <c r="E46" i="3"/>
  <c r="F46" i="3"/>
  <c r="G46" i="3"/>
  <c r="H46" i="3"/>
  <c r="A47" i="3"/>
  <c r="B47" i="3"/>
  <c r="C47" i="3"/>
  <c r="D47" i="3"/>
  <c r="E47" i="3"/>
  <c r="F47" i="3"/>
  <c r="G47" i="3"/>
  <c r="H47" i="3"/>
  <c r="A48" i="3"/>
  <c r="B48" i="3"/>
  <c r="C48" i="3"/>
  <c r="D48" i="3"/>
  <c r="E48" i="3"/>
  <c r="F48" i="3"/>
  <c r="G48" i="3"/>
  <c r="H48" i="3"/>
  <c r="A49" i="3"/>
  <c r="B49" i="3"/>
  <c r="C49" i="3"/>
  <c r="D49" i="3"/>
  <c r="E49" i="3"/>
  <c r="F49" i="3"/>
  <c r="G49" i="3"/>
  <c r="H49" i="3"/>
  <c r="A50" i="3"/>
  <c r="B50" i="3"/>
  <c r="C50" i="3"/>
  <c r="D50" i="3"/>
  <c r="E50" i="3"/>
  <c r="F50" i="3"/>
  <c r="G50" i="3"/>
  <c r="H50" i="3"/>
  <c r="A51" i="3"/>
  <c r="B51" i="3"/>
  <c r="C51" i="3"/>
  <c r="D51" i="3"/>
  <c r="E51" i="3"/>
  <c r="F51" i="3"/>
  <c r="G51" i="3"/>
  <c r="H51" i="3"/>
  <c r="A52" i="3"/>
  <c r="B52" i="3"/>
  <c r="C52" i="3"/>
  <c r="D52" i="3"/>
  <c r="E52" i="3"/>
  <c r="F52" i="3"/>
  <c r="G52" i="3"/>
  <c r="H52" i="3"/>
  <c r="A53" i="3"/>
  <c r="B53" i="3"/>
  <c r="C53" i="3"/>
  <c r="D53" i="3"/>
  <c r="E53" i="3"/>
  <c r="F53" i="3"/>
  <c r="G53" i="3"/>
  <c r="H53" i="3"/>
  <c r="A54" i="3"/>
  <c r="B54" i="3"/>
  <c r="C54" i="3"/>
  <c r="D54" i="3"/>
  <c r="E54" i="3"/>
  <c r="F54" i="3"/>
  <c r="G54" i="3"/>
  <c r="H54" i="3"/>
  <c r="A55" i="3"/>
  <c r="B55" i="3"/>
  <c r="C55" i="3"/>
  <c r="D55" i="3"/>
  <c r="E55" i="3"/>
  <c r="F55" i="3"/>
  <c r="G55" i="3"/>
  <c r="H55" i="3"/>
  <c r="A56" i="3"/>
  <c r="B56" i="3"/>
  <c r="C56" i="3"/>
  <c r="D56" i="3"/>
  <c r="E56" i="3"/>
  <c r="F56" i="3"/>
  <c r="G56" i="3"/>
  <c r="H56" i="3"/>
  <c r="A57" i="3"/>
  <c r="B57" i="3"/>
  <c r="C57" i="3"/>
  <c r="D57" i="3"/>
  <c r="E57" i="3"/>
  <c r="F57" i="3"/>
  <c r="G57" i="3"/>
  <c r="H57" i="3"/>
  <c r="A58" i="3"/>
  <c r="B58" i="3"/>
  <c r="C58" i="3"/>
  <c r="D58" i="3"/>
  <c r="E58" i="3"/>
  <c r="F58" i="3"/>
  <c r="G58" i="3"/>
  <c r="H58" i="3"/>
  <c r="A59" i="3"/>
  <c r="B59" i="3"/>
  <c r="C59" i="3"/>
  <c r="D59" i="3"/>
  <c r="E59" i="3"/>
  <c r="F59" i="3"/>
  <c r="G59" i="3"/>
  <c r="H59" i="3"/>
  <c r="A60" i="3"/>
  <c r="B60" i="3"/>
  <c r="C60" i="3"/>
  <c r="D60" i="3"/>
  <c r="E60" i="3"/>
  <c r="F60" i="3"/>
  <c r="G60" i="3"/>
  <c r="H60" i="3"/>
  <c r="A61" i="3"/>
  <c r="B61" i="3"/>
  <c r="C61" i="3"/>
  <c r="D61" i="3"/>
  <c r="E61" i="3"/>
  <c r="F61" i="3"/>
  <c r="G61" i="3"/>
  <c r="H61" i="3"/>
  <c r="A62" i="3"/>
  <c r="B62" i="3"/>
  <c r="C62" i="3"/>
  <c r="D62" i="3"/>
  <c r="E62" i="3"/>
  <c r="F62" i="3"/>
  <c r="G62" i="3"/>
  <c r="H62" i="3"/>
  <c r="A63" i="3"/>
  <c r="B63" i="3"/>
  <c r="C63" i="3"/>
  <c r="D63" i="3"/>
  <c r="E63" i="3"/>
  <c r="F63" i="3"/>
  <c r="G63" i="3"/>
  <c r="H63" i="3"/>
  <c r="A64" i="3"/>
  <c r="B64" i="3"/>
  <c r="C64" i="3"/>
  <c r="D64" i="3"/>
  <c r="E64" i="3"/>
  <c r="F64" i="3"/>
  <c r="G64" i="3"/>
  <c r="H64" i="3"/>
  <c r="A65" i="3"/>
  <c r="B65" i="3"/>
  <c r="C65" i="3"/>
  <c r="D65" i="3"/>
  <c r="E65" i="3"/>
  <c r="F65" i="3"/>
  <c r="G65" i="3"/>
  <c r="H65" i="3"/>
  <c r="A66" i="3"/>
  <c r="B66" i="3"/>
  <c r="C66" i="3"/>
  <c r="D66" i="3"/>
  <c r="E66" i="3"/>
  <c r="F66" i="3"/>
  <c r="G66" i="3"/>
  <c r="H66" i="3"/>
  <c r="A67" i="3"/>
  <c r="B67" i="3"/>
  <c r="C67" i="3"/>
  <c r="D67" i="3"/>
  <c r="E67" i="3"/>
  <c r="F67" i="3"/>
  <c r="G67" i="3"/>
  <c r="H67" i="3"/>
  <c r="A68" i="3"/>
  <c r="B68" i="3"/>
  <c r="C68" i="3"/>
  <c r="D68" i="3"/>
  <c r="E68" i="3"/>
  <c r="F68" i="3"/>
  <c r="G68" i="3"/>
  <c r="H68" i="3"/>
  <c r="A69" i="3"/>
  <c r="B69" i="3"/>
  <c r="C69" i="3"/>
  <c r="D69" i="3"/>
  <c r="E69" i="3"/>
  <c r="F69" i="3"/>
  <c r="G69" i="3"/>
  <c r="H69" i="3"/>
  <c r="A70" i="3"/>
  <c r="B70" i="3"/>
  <c r="C70" i="3"/>
  <c r="D70" i="3"/>
  <c r="E70" i="3"/>
  <c r="F70" i="3"/>
  <c r="G70" i="3"/>
  <c r="H70" i="3"/>
  <c r="A71" i="3"/>
  <c r="B71" i="3"/>
  <c r="C71" i="3"/>
  <c r="D71" i="3"/>
  <c r="E71" i="3"/>
  <c r="F71" i="3"/>
  <c r="G71" i="3"/>
  <c r="H71" i="3"/>
  <c r="A72" i="3"/>
  <c r="B72" i="3"/>
  <c r="C72" i="3"/>
  <c r="D72" i="3"/>
  <c r="E72" i="3"/>
  <c r="F72" i="3"/>
  <c r="G72" i="3"/>
  <c r="H72" i="3"/>
  <c r="A73" i="3"/>
  <c r="B73" i="3"/>
  <c r="C73" i="3"/>
  <c r="D73" i="3"/>
  <c r="E73" i="3"/>
  <c r="F73" i="3"/>
  <c r="G73" i="3"/>
  <c r="H73" i="3"/>
  <c r="A74" i="3"/>
  <c r="B74" i="3"/>
  <c r="C74" i="3"/>
  <c r="D74" i="3"/>
  <c r="E74" i="3"/>
  <c r="F74" i="3"/>
  <c r="G74" i="3"/>
  <c r="H74" i="3"/>
  <c r="A75" i="3"/>
  <c r="B75" i="3"/>
  <c r="C75" i="3"/>
  <c r="D75" i="3"/>
  <c r="E75" i="3"/>
  <c r="F75" i="3"/>
  <c r="G75" i="3"/>
  <c r="H75" i="3"/>
  <c r="A76" i="3"/>
  <c r="B76" i="3"/>
  <c r="C76" i="3"/>
  <c r="D76" i="3"/>
  <c r="E76" i="3"/>
  <c r="F76" i="3"/>
  <c r="G76" i="3"/>
  <c r="H76" i="3"/>
  <c r="A77" i="3"/>
  <c r="B77" i="3"/>
  <c r="C77" i="3"/>
  <c r="D77" i="3"/>
  <c r="E77" i="3"/>
  <c r="F77" i="3"/>
  <c r="G77" i="3"/>
  <c r="H77" i="3"/>
  <c r="A78" i="3"/>
  <c r="B78" i="3"/>
  <c r="C78" i="3"/>
  <c r="D78" i="3"/>
  <c r="E78" i="3"/>
  <c r="F78" i="3"/>
  <c r="G78" i="3"/>
  <c r="H78" i="3"/>
  <c r="A79" i="3"/>
  <c r="B79" i="3"/>
  <c r="C79" i="3"/>
  <c r="D79" i="3"/>
  <c r="E79" i="3"/>
  <c r="F79" i="3"/>
  <c r="G79" i="3"/>
  <c r="H79" i="3"/>
  <c r="A80" i="3"/>
  <c r="B80" i="3"/>
  <c r="C80" i="3"/>
  <c r="D80" i="3"/>
  <c r="E80" i="3"/>
  <c r="F80" i="3"/>
  <c r="G80" i="3"/>
  <c r="H80" i="3"/>
  <c r="A81" i="3"/>
  <c r="B81" i="3"/>
  <c r="C81" i="3"/>
  <c r="D81" i="3"/>
  <c r="E81" i="3"/>
  <c r="F81" i="3"/>
  <c r="G81" i="3"/>
  <c r="H81" i="3"/>
  <c r="A82" i="3"/>
  <c r="B82" i="3"/>
  <c r="C82" i="3"/>
  <c r="D82" i="3"/>
  <c r="E82" i="3"/>
  <c r="F82" i="3"/>
  <c r="G82" i="3"/>
  <c r="H82" i="3"/>
  <c r="A83" i="3"/>
  <c r="B83" i="3"/>
  <c r="C83" i="3"/>
  <c r="D83" i="3"/>
  <c r="E83" i="3"/>
  <c r="F83" i="3"/>
  <c r="G83" i="3"/>
  <c r="H83" i="3"/>
  <c r="A84" i="3"/>
  <c r="B84" i="3"/>
  <c r="C84" i="3"/>
  <c r="D84" i="3"/>
  <c r="E84" i="3"/>
  <c r="F84" i="3"/>
  <c r="G84" i="3"/>
  <c r="H84" i="3"/>
  <c r="A85" i="3"/>
  <c r="B85" i="3"/>
  <c r="C85" i="3"/>
  <c r="D85" i="3"/>
  <c r="E85" i="3"/>
  <c r="F85" i="3"/>
  <c r="G85" i="3"/>
  <c r="H85" i="3"/>
  <c r="A86" i="3"/>
  <c r="B86" i="3"/>
  <c r="C86" i="3"/>
  <c r="D86" i="3"/>
  <c r="E86" i="3"/>
  <c r="F86" i="3"/>
  <c r="G86" i="3"/>
  <c r="H86" i="3"/>
  <c r="A87" i="3"/>
  <c r="B87" i="3"/>
  <c r="C87" i="3"/>
  <c r="D87" i="3"/>
  <c r="E87" i="3"/>
  <c r="F87" i="3"/>
  <c r="G87" i="3"/>
  <c r="H87" i="3"/>
  <c r="A88" i="3"/>
  <c r="B88" i="3"/>
  <c r="C88" i="3"/>
  <c r="D88" i="3"/>
  <c r="E88" i="3"/>
  <c r="F88" i="3"/>
  <c r="G88" i="3"/>
  <c r="H88" i="3"/>
  <c r="A89" i="3"/>
  <c r="B89" i="3"/>
  <c r="C89" i="3"/>
  <c r="D89" i="3"/>
  <c r="E89" i="3"/>
  <c r="F89" i="3"/>
  <c r="G89" i="3"/>
  <c r="H89" i="3"/>
  <c r="A90" i="3"/>
  <c r="B90" i="3"/>
  <c r="C90" i="3"/>
  <c r="D90" i="3"/>
  <c r="E90" i="3"/>
  <c r="F90" i="3"/>
  <c r="G90" i="3"/>
  <c r="H90" i="3"/>
  <c r="A91" i="3"/>
  <c r="B91" i="3"/>
  <c r="C91" i="3"/>
  <c r="D91" i="3"/>
  <c r="E91" i="3"/>
  <c r="F91" i="3"/>
  <c r="G91" i="3"/>
  <c r="H91" i="3"/>
  <c r="A92" i="3"/>
  <c r="B92" i="3"/>
  <c r="C92" i="3"/>
  <c r="D92" i="3"/>
  <c r="E92" i="3"/>
  <c r="F92" i="3"/>
  <c r="G92" i="3"/>
  <c r="H92" i="3"/>
  <c r="A93" i="3"/>
  <c r="B93" i="3"/>
  <c r="C93" i="3"/>
  <c r="D93" i="3"/>
  <c r="E93" i="3"/>
  <c r="F93" i="3"/>
  <c r="G93" i="3"/>
  <c r="H93" i="3"/>
  <c r="A94" i="3"/>
  <c r="B94" i="3"/>
  <c r="C94" i="3"/>
  <c r="D94" i="3"/>
  <c r="E94" i="3"/>
  <c r="F94" i="3"/>
  <c r="G94" i="3"/>
  <c r="H94" i="3"/>
  <c r="A95" i="3"/>
  <c r="B95" i="3"/>
  <c r="C95" i="3"/>
  <c r="D95" i="3"/>
  <c r="E95" i="3"/>
  <c r="F95" i="3"/>
  <c r="G95" i="3"/>
  <c r="H95" i="3"/>
  <c r="A96" i="3"/>
  <c r="B96" i="3"/>
  <c r="C96" i="3"/>
  <c r="D96" i="3"/>
  <c r="E96" i="3"/>
  <c r="F96" i="3"/>
  <c r="G96" i="3"/>
  <c r="H96" i="3"/>
  <c r="A97" i="3"/>
  <c r="B97" i="3"/>
  <c r="C97" i="3"/>
  <c r="D97" i="3"/>
  <c r="E97" i="3"/>
  <c r="F97" i="3"/>
  <c r="G97" i="3"/>
  <c r="H97" i="3"/>
  <c r="A98" i="3"/>
  <c r="B98" i="3"/>
  <c r="C98" i="3"/>
  <c r="D98" i="3"/>
  <c r="E98" i="3"/>
  <c r="F98" i="3"/>
  <c r="G98" i="3"/>
  <c r="H98" i="3"/>
  <c r="A99" i="3"/>
  <c r="B99" i="3"/>
  <c r="C99" i="3"/>
  <c r="D99" i="3"/>
  <c r="E99" i="3"/>
  <c r="F99" i="3"/>
  <c r="G99" i="3"/>
  <c r="H99" i="3"/>
  <c r="A100" i="3"/>
  <c r="B100" i="3"/>
  <c r="C100" i="3"/>
  <c r="D100" i="3"/>
  <c r="E100" i="3"/>
  <c r="F100" i="3"/>
  <c r="G100" i="3"/>
  <c r="H100" i="3"/>
  <c r="A101" i="3"/>
  <c r="B101" i="3"/>
  <c r="C101" i="3"/>
  <c r="D101" i="3"/>
  <c r="E101" i="3"/>
  <c r="F101" i="3"/>
  <c r="G101" i="3"/>
  <c r="H101" i="3"/>
  <c r="A102" i="3"/>
  <c r="B102" i="3"/>
  <c r="C102" i="3"/>
  <c r="D102" i="3"/>
  <c r="E102" i="3"/>
  <c r="F102" i="3"/>
  <c r="G102" i="3"/>
  <c r="H102" i="3"/>
  <c r="A103" i="3"/>
  <c r="B103" i="3"/>
  <c r="C103" i="3"/>
  <c r="D103" i="3"/>
  <c r="E103" i="3"/>
  <c r="F103" i="3"/>
  <c r="G103" i="3"/>
  <c r="H103" i="3"/>
  <c r="A104" i="3"/>
  <c r="B104" i="3"/>
  <c r="C104" i="3"/>
  <c r="D104" i="3"/>
  <c r="E104" i="3"/>
  <c r="F104" i="3"/>
  <c r="G104" i="3"/>
  <c r="H104" i="3"/>
  <c r="A105" i="3"/>
  <c r="B105" i="3"/>
  <c r="C105" i="3"/>
  <c r="D105" i="3"/>
  <c r="E105" i="3"/>
  <c r="F105" i="3"/>
  <c r="G105" i="3"/>
  <c r="H105" i="3"/>
  <c r="A106" i="3"/>
  <c r="B106" i="3"/>
  <c r="C106" i="3"/>
  <c r="D106" i="3"/>
  <c r="E106" i="3"/>
  <c r="F106" i="3"/>
  <c r="G106" i="3"/>
  <c r="H106" i="3"/>
  <c r="A107" i="3"/>
  <c r="B107" i="3"/>
  <c r="C107" i="3"/>
  <c r="D107" i="3"/>
  <c r="E107" i="3"/>
  <c r="F107" i="3"/>
  <c r="G107" i="3"/>
  <c r="H107" i="3"/>
  <c r="A108" i="3"/>
  <c r="B108" i="3"/>
  <c r="C108" i="3"/>
  <c r="D108" i="3"/>
  <c r="E108" i="3"/>
  <c r="F108" i="3"/>
  <c r="G108" i="3"/>
  <c r="H108" i="3"/>
  <c r="A109" i="3"/>
  <c r="B109" i="3"/>
  <c r="C109" i="3"/>
  <c r="D109" i="3"/>
  <c r="E109" i="3"/>
  <c r="F109" i="3"/>
  <c r="G109" i="3"/>
  <c r="H109" i="3"/>
  <c r="A110" i="3"/>
  <c r="B110" i="3"/>
  <c r="C110" i="3"/>
  <c r="D110" i="3"/>
  <c r="E110" i="3"/>
  <c r="F110" i="3"/>
  <c r="G110" i="3"/>
  <c r="H110" i="3"/>
  <c r="A111" i="3"/>
  <c r="B111" i="3"/>
  <c r="C111" i="3"/>
  <c r="D111" i="3"/>
  <c r="E111" i="3"/>
  <c r="F111" i="3"/>
  <c r="G111" i="3"/>
  <c r="H111" i="3"/>
  <c r="A112" i="3"/>
  <c r="B112" i="3"/>
  <c r="C112" i="3"/>
  <c r="D112" i="3"/>
  <c r="E112" i="3"/>
  <c r="F112" i="3"/>
  <c r="G112" i="3"/>
  <c r="H112" i="3"/>
  <c r="A113" i="3"/>
  <c r="B113" i="3"/>
  <c r="C113" i="3"/>
  <c r="D113" i="3"/>
  <c r="E113" i="3"/>
  <c r="F113" i="3"/>
  <c r="G113" i="3"/>
  <c r="H113" i="3"/>
  <c r="A114" i="3"/>
  <c r="B114" i="3"/>
  <c r="C114" i="3"/>
  <c r="D114" i="3"/>
  <c r="E114" i="3"/>
  <c r="F114" i="3"/>
  <c r="G114" i="3"/>
  <c r="H114" i="3"/>
  <c r="A115" i="3"/>
  <c r="B115" i="3"/>
  <c r="C115" i="3"/>
  <c r="D115" i="3"/>
  <c r="E115" i="3"/>
  <c r="F115" i="3"/>
  <c r="G115" i="3"/>
  <c r="H115" i="3"/>
  <c r="A116" i="3"/>
  <c r="B116" i="3"/>
  <c r="C116" i="3"/>
  <c r="D116" i="3"/>
  <c r="E116" i="3"/>
  <c r="F116" i="3"/>
  <c r="G116" i="3"/>
  <c r="H116" i="3"/>
  <c r="A117" i="3"/>
  <c r="B117" i="3"/>
  <c r="C117" i="3"/>
  <c r="D117" i="3"/>
  <c r="E117" i="3"/>
  <c r="F117" i="3"/>
  <c r="G117" i="3"/>
  <c r="H117" i="3"/>
  <c r="A118" i="3"/>
  <c r="B118" i="3"/>
  <c r="C118" i="3"/>
  <c r="D118" i="3"/>
  <c r="E118" i="3"/>
  <c r="F118" i="3"/>
  <c r="G118" i="3"/>
  <c r="H118" i="3"/>
  <c r="A119" i="3"/>
  <c r="B119" i="3"/>
  <c r="C119" i="3"/>
  <c r="D119" i="3"/>
  <c r="E119" i="3"/>
  <c r="F119" i="3"/>
  <c r="G119" i="3"/>
  <c r="H119" i="3"/>
  <c r="A120" i="3"/>
  <c r="B120" i="3"/>
  <c r="C120" i="3"/>
  <c r="D120" i="3"/>
  <c r="E120" i="3"/>
  <c r="F120" i="3"/>
  <c r="G120" i="3"/>
  <c r="H120" i="3"/>
  <c r="A121" i="3"/>
  <c r="B121" i="3"/>
  <c r="C121" i="3"/>
  <c r="D121" i="3"/>
  <c r="E121" i="3"/>
  <c r="F121" i="3"/>
  <c r="G121" i="3"/>
  <c r="H121" i="3"/>
  <c r="A122" i="3"/>
  <c r="B122" i="3"/>
  <c r="C122" i="3"/>
  <c r="D122" i="3"/>
  <c r="E122" i="3"/>
  <c r="F122" i="3"/>
  <c r="G122" i="3"/>
  <c r="H122" i="3"/>
  <c r="A123" i="3"/>
  <c r="B123" i="3"/>
  <c r="C123" i="3"/>
  <c r="D123" i="3"/>
  <c r="E123" i="3"/>
  <c r="F123" i="3"/>
  <c r="G123" i="3"/>
  <c r="H123" i="3"/>
  <c r="A124" i="3"/>
  <c r="B124" i="3"/>
  <c r="C124" i="3"/>
  <c r="D124" i="3"/>
  <c r="E124" i="3"/>
  <c r="F124" i="3"/>
  <c r="G124" i="3"/>
  <c r="H124" i="3"/>
  <c r="A125" i="3"/>
  <c r="B125" i="3"/>
  <c r="C125" i="3"/>
  <c r="D125" i="3"/>
  <c r="E125" i="3"/>
  <c r="F125" i="3"/>
  <c r="G125" i="3"/>
  <c r="H125" i="3"/>
  <c r="A126" i="3"/>
  <c r="B126" i="3"/>
  <c r="C126" i="3"/>
  <c r="D126" i="3"/>
  <c r="E126" i="3"/>
  <c r="F126" i="3"/>
  <c r="G126" i="3"/>
  <c r="H126" i="3"/>
  <c r="A127" i="3"/>
  <c r="B127" i="3"/>
  <c r="C127" i="3"/>
  <c r="D127" i="3"/>
  <c r="E127" i="3"/>
  <c r="F127" i="3"/>
  <c r="G127" i="3"/>
  <c r="H127" i="3"/>
  <c r="A128" i="3"/>
  <c r="B128" i="3"/>
  <c r="C128" i="3"/>
  <c r="D128" i="3"/>
  <c r="E128" i="3"/>
  <c r="F128" i="3"/>
  <c r="G128" i="3"/>
  <c r="H128" i="3"/>
  <c r="A129" i="3"/>
  <c r="B129" i="3"/>
  <c r="C129" i="3"/>
  <c r="D129" i="3"/>
  <c r="E129" i="3"/>
  <c r="F129" i="3"/>
  <c r="G129" i="3"/>
  <c r="H129" i="3"/>
  <c r="A130" i="3"/>
  <c r="B130" i="3"/>
  <c r="C130" i="3"/>
  <c r="D130" i="3"/>
  <c r="E130" i="3"/>
  <c r="F130" i="3"/>
  <c r="G130" i="3"/>
  <c r="H130" i="3"/>
  <c r="A131" i="3"/>
  <c r="B131" i="3"/>
  <c r="C131" i="3"/>
  <c r="D131" i="3"/>
  <c r="E131" i="3"/>
  <c r="F131" i="3"/>
  <c r="G131" i="3"/>
  <c r="H131" i="3"/>
  <c r="A132" i="3"/>
  <c r="B132" i="3"/>
  <c r="C132" i="3"/>
  <c r="D132" i="3"/>
  <c r="E132" i="3"/>
  <c r="F132" i="3"/>
  <c r="G132" i="3"/>
  <c r="H132" i="3"/>
  <c r="A133" i="3"/>
  <c r="B133" i="3"/>
  <c r="C133" i="3"/>
  <c r="D133" i="3"/>
  <c r="E133" i="3"/>
  <c r="F133" i="3"/>
  <c r="G133" i="3"/>
  <c r="H133" i="3"/>
  <c r="A134" i="3"/>
  <c r="B134" i="3"/>
  <c r="C134" i="3"/>
  <c r="D134" i="3"/>
  <c r="E134" i="3"/>
  <c r="F134" i="3"/>
  <c r="G134" i="3"/>
  <c r="H134" i="3"/>
  <c r="A135" i="3"/>
  <c r="B135" i="3"/>
  <c r="C135" i="3"/>
  <c r="D135" i="3"/>
  <c r="E135" i="3"/>
  <c r="F135" i="3"/>
  <c r="G135" i="3"/>
  <c r="H135" i="3"/>
  <c r="A136" i="3"/>
  <c r="B136" i="3"/>
  <c r="C136" i="3"/>
  <c r="D136" i="3"/>
  <c r="E136" i="3"/>
  <c r="F136" i="3"/>
  <c r="G136" i="3"/>
  <c r="H136" i="3"/>
  <c r="A137" i="3"/>
  <c r="B137" i="3"/>
  <c r="C137" i="3"/>
  <c r="D137" i="3"/>
  <c r="E137" i="3"/>
  <c r="F137" i="3"/>
  <c r="G137" i="3"/>
  <c r="H137" i="3"/>
  <c r="A138" i="3"/>
  <c r="B138" i="3"/>
  <c r="C138" i="3"/>
  <c r="D138" i="3"/>
  <c r="E138" i="3"/>
  <c r="F138" i="3"/>
  <c r="G138" i="3"/>
  <c r="H138" i="3"/>
  <c r="A139" i="3"/>
  <c r="B139" i="3"/>
  <c r="C139" i="3"/>
  <c r="D139" i="3"/>
  <c r="E139" i="3"/>
  <c r="F139" i="3"/>
  <c r="G139" i="3"/>
  <c r="H139" i="3"/>
  <c r="A140" i="3"/>
  <c r="B140" i="3"/>
  <c r="C140" i="3"/>
  <c r="D140" i="3"/>
  <c r="E140" i="3"/>
  <c r="F140" i="3"/>
  <c r="G140" i="3"/>
  <c r="H140" i="3"/>
  <c r="A141" i="3"/>
  <c r="B141" i="3"/>
  <c r="C141" i="3"/>
  <c r="D141" i="3"/>
  <c r="E141" i="3"/>
  <c r="F141" i="3"/>
  <c r="G141" i="3"/>
  <c r="H141" i="3"/>
  <c r="A142" i="3"/>
  <c r="B142" i="3"/>
  <c r="C142" i="3"/>
  <c r="D142" i="3"/>
  <c r="E142" i="3"/>
  <c r="F142" i="3"/>
  <c r="G142" i="3"/>
  <c r="H142" i="3"/>
  <c r="A143" i="3"/>
  <c r="B143" i="3"/>
  <c r="C143" i="3"/>
  <c r="D143" i="3"/>
  <c r="E143" i="3"/>
  <c r="F143" i="3"/>
  <c r="G143" i="3"/>
  <c r="H143" i="3"/>
  <c r="A144" i="3"/>
  <c r="B144" i="3"/>
  <c r="C144" i="3"/>
  <c r="D144" i="3"/>
  <c r="E144" i="3"/>
  <c r="F144" i="3"/>
  <c r="G144" i="3"/>
  <c r="H144" i="3"/>
  <c r="A145" i="3"/>
  <c r="B145" i="3"/>
  <c r="C145" i="3"/>
  <c r="D145" i="3"/>
  <c r="E145" i="3"/>
  <c r="F145" i="3"/>
  <c r="G145" i="3"/>
  <c r="H145" i="3"/>
  <c r="A146" i="3"/>
  <c r="B146" i="3"/>
  <c r="C146" i="3"/>
  <c r="D146" i="3"/>
  <c r="E146" i="3"/>
  <c r="F146" i="3"/>
  <c r="G146" i="3"/>
  <c r="H146" i="3"/>
  <c r="A147" i="3"/>
  <c r="B147" i="3"/>
  <c r="C147" i="3"/>
  <c r="D147" i="3"/>
  <c r="E147" i="3"/>
  <c r="F147" i="3"/>
  <c r="G147" i="3"/>
  <c r="H147" i="3"/>
  <c r="A148" i="3"/>
  <c r="B148" i="3"/>
  <c r="C148" i="3"/>
  <c r="D148" i="3"/>
  <c r="E148" i="3"/>
  <c r="F148" i="3"/>
  <c r="G148" i="3"/>
  <c r="H148" i="3"/>
  <c r="A149" i="3"/>
  <c r="B149" i="3"/>
  <c r="C149" i="3"/>
  <c r="D149" i="3"/>
  <c r="E149" i="3"/>
  <c r="F149" i="3"/>
  <c r="G149" i="3"/>
  <c r="H149" i="3"/>
  <c r="A150" i="3"/>
  <c r="B150" i="3"/>
  <c r="C150" i="3"/>
  <c r="D150" i="3"/>
  <c r="E150" i="3"/>
  <c r="F150" i="3"/>
  <c r="G150" i="3"/>
  <c r="H150" i="3"/>
  <c r="A151" i="3"/>
  <c r="B151" i="3"/>
  <c r="C151" i="3"/>
  <c r="D151" i="3"/>
  <c r="E151" i="3"/>
  <c r="F151" i="3"/>
  <c r="G151" i="3"/>
  <c r="H151" i="3"/>
  <c r="A152" i="3"/>
  <c r="B152" i="3"/>
  <c r="C152" i="3"/>
  <c r="D152" i="3"/>
  <c r="E152" i="3"/>
  <c r="F152" i="3"/>
  <c r="G152" i="3"/>
  <c r="H152" i="3"/>
  <c r="A153" i="3"/>
  <c r="B153" i="3"/>
  <c r="C153" i="3"/>
  <c r="D153" i="3"/>
  <c r="E153" i="3"/>
  <c r="F153" i="3"/>
  <c r="G153" i="3"/>
  <c r="H153" i="3"/>
  <c r="A154" i="3"/>
  <c r="B154" i="3"/>
  <c r="C154" i="3"/>
  <c r="D154" i="3"/>
  <c r="E154" i="3"/>
  <c r="F154" i="3"/>
  <c r="G154" i="3"/>
  <c r="H154" i="3"/>
  <c r="A155" i="3"/>
  <c r="B155" i="3"/>
  <c r="C155" i="3"/>
  <c r="D155" i="3"/>
  <c r="E155" i="3"/>
  <c r="F155" i="3"/>
  <c r="G155" i="3"/>
  <c r="H155" i="3"/>
  <c r="A156" i="3"/>
  <c r="B156" i="3"/>
  <c r="C156" i="3"/>
  <c r="D156" i="3"/>
  <c r="E156" i="3"/>
  <c r="F156" i="3"/>
  <c r="G156" i="3"/>
  <c r="H156" i="3"/>
  <c r="A157" i="3"/>
  <c r="B157" i="3"/>
  <c r="C157" i="3"/>
  <c r="D157" i="3"/>
  <c r="E157" i="3"/>
  <c r="F157" i="3"/>
  <c r="G157" i="3"/>
  <c r="H157" i="3"/>
  <c r="A158" i="3"/>
  <c r="B158" i="3"/>
  <c r="C158" i="3"/>
  <c r="D158" i="3"/>
  <c r="E158" i="3"/>
  <c r="F158" i="3"/>
  <c r="G158" i="3"/>
  <c r="H158" i="3"/>
  <c r="A159" i="3"/>
  <c r="B159" i="3"/>
  <c r="C159" i="3"/>
  <c r="D159" i="3"/>
  <c r="E159" i="3"/>
  <c r="F159" i="3"/>
  <c r="G159" i="3"/>
  <c r="H159" i="3"/>
  <c r="A160" i="3"/>
  <c r="B160" i="3"/>
  <c r="C160" i="3"/>
  <c r="D160" i="3"/>
  <c r="E160" i="3"/>
  <c r="F160" i="3"/>
  <c r="G160" i="3"/>
  <c r="H160" i="3"/>
  <c r="A161" i="3"/>
  <c r="B161" i="3"/>
  <c r="C161" i="3"/>
  <c r="D161" i="3"/>
  <c r="E161" i="3"/>
  <c r="F161" i="3"/>
  <c r="G161" i="3"/>
  <c r="H161" i="3"/>
  <c r="A162" i="3"/>
  <c r="B162" i="3"/>
  <c r="C162" i="3"/>
  <c r="D162" i="3"/>
  <c r="E162" i="3"/>
  <c r="F162" i="3"/>
  <c r="G162" i="3"/>
  <c r="H162" i="3"/>
  <c r="A163" i="3"/>
  <c r="B163" i="3"/>
  <c r="C163" i="3"/>
  <c r="D163" i="3"/>
  <c r="E163" i="3"/>
  <c r="F163" i="3"/>
  <c r="G163" i="3"/>
  <c r="H163" i="3"/>
  <c r="A164" i="3"/>
  <c r="B164" i="3"/>
  <c r="C164" i="3"/>
  <c r="D164" i="3"/>
  <c r="E164" i="3"/>
  <c r="F164" i="3"/>
  <c r="G164" i="3"/>
  <c r="H164" i="3"/>
  <c r="A165" i="3"/>
  <c r="B165" i="3"/>
  <c r="C165" i="3"/>
  <c r="D165" i="3"/>
  <c r="E165" i="3"/>
  <c r="F165" i="3"/>
  <c r="G165" i="3"/>
  <c r="H165" i="3"/>
  <c r="A166" i="3"/>
  <c r="B166" i="3"/>
  <c r="C166" i="3"/>
  <c r="D166" i="3"/>
  <c r="E166" i="3"/>
  <c r="F166" i="3"/>
  <c r="G166" i="3"/>
  <c r="H166" i="3"/>
  <c r="A167" i="3"/>
  <c r="B167" i="3"/>
  <c r="C167" i="3"/>
  <c r="D167" i="3"/>
  <c r="E167" i="3"/>
  <c r="F167" i="3"/>
  <c r="G167" i="3"/>
  <c r="H167" i="3"/>
  <c r="A168" i="3"/>
  <c r="B168" i="3"/>
  <c r="C168" i="3"/>
  <c r="D168" i="3"/>
  <c r="E168" i="3"/>
  <c r="F168" i="3"/>
  <c r="G168" i="3"/>
  <c r="H168" i="3"/>
  <c r="A169" i="3"/>
  <c r="B169" i="3"/>
  <c r="C169" i="3"/>
  <c r="D169" i="3"/>
  <c r="E169" i="3"/>
  <c r="F169" i="3"/>
  <c r="G169" i="3"/>
  <c r="H169" i="3"/>
  <c r="A170" i="3"/>
  <c r="B170" i="3"/>
  <c r="C170" i="3"/>
  <c r="D170" i="3"/>
  <c r="E170" i="3"/>
  <c r="F170" i="3"/>
  <c r="G170" i="3"/>
  <c r="H170" i="3"/>
  <c r="A171" i="3"/>
  <c r="B171" i="3"/>
  <c r="C171" i="3"/>
  <c r="D171" i="3"/>
  <c r="E171" i="3"/>
  <c r="F171" i="3"/>
  <c r="G171" i="3"/>
  <c r="H171" i="3"/>
  <c r="A172" i="3"/>
  <c r="B172" i="3"/>
  <c r="C172" i="3"/>
  <c r="D172" i="3"/>
  <c r="E172" i="3"/>
  <c r="F172" i="3"/>
  <c r="G172" i="3"/>
  <c r="H172" i="3"/>
  <c r="A173" i="3"/>
  <c r="B173" i="3"/>
  <c r="C173" i="3"/>
  <c r="D173" i="3"/>
  <c r="E173" i="3"/>
  <c r="F173" i="3"/>
  <c r="G173" i="3"/>
  <c r="H173" i="3"/>
  <c r="A174" i="3"/>
  <c r="B174" i="3"/>
  <c r="C174" i="3"/>
  <c r="D174" i="3"/>
  <c r="E174" i="3"/>
  <c r="F174" i="3"/>
  <c r="G174" i="3"/>
  <c r="H174" i="3"/>
  <c r="A175" i="3"/>
  <c r="B175" i="3"/>
  <c r="C175" i="3"/>
  <c r="D175" i="3"/>
  <c r="E175" i="3"/>
  <c r="F175" i="3"/>
  <c r="G175" i="3"/>
  <c r="H175" i="3"/>
  <c r="A176" i="3"/>
  <c r="B176" i="3"/>
  <c r="C176" i="3"/>
  <c r="D176" i="3"/>
  <c r="E176" i="3"/>
  <c r="F176" i="3"/>
  <c r="G176" i="3"/>
  <c r="H176" i="3"/>
  <c r="A177" i="3"/>
  <c r="B177" i="3"/>
  <c r="C177" i="3"/>
  <c r="D177" i="3"/>
  <c r="E177" i="3"/>
  <c r="F177" i="3"/>
  <c r="G177" i="3"/>
  <c r="H177" i="3"/>
  <c r="A178" i="3"/>
  <c r="B178" i="3"/>
  <c r="C178" i="3"/>
  <c r="D178" i="3"/>
  <c r="E178" i="3"/>
  <c r="F178" i="3"/>
  <c r="G178" i="3"/>
  <c r="H178" i="3"/>
  <c r="A179" i="3"/>
  <c r="B179" i="3"/>
  <c r="C179" i="3"/>
  <c r="D179" i="3"/>
  <c r="E179" i="3"/>
  <c r="F179" i="3"/>
  <c r="G179" i="3"/>
  <c r="H179" i="3"/>
  <c r="A180" i="3"/>
  <c r="B180" i="3"/>
  <c r="C180" i="3"/>
  <c r="D180" i="3"/>
  <c r="E180" i="3"/>
  <c r="F180" i="3"/>
  <c r="G180" i="3"/>
  <c r="H180" i="3"/>
  <c r="A181" i="3"/>
  <c r="B181" i="3"/>
  <c r="C181" i="3"/>
  <c r="D181" i="3"/>
  <c r="E181" i="3"/>
  <c r="F181" i="3"/>
  <c r="G181" i="3"/>
  <c r="H181" i="3"/>
  <c r="A182" i="3"/>
  <c r="B182" i="3"/>
  <c r="C182" i="3"/>
  <c r="D182" i="3"/>
  <c r="E182" i="3"/>
  <c r="F182" i="3"/>
  <c r="G182" i="3"/>
  <c r="H182" i="3"/>
  <c r="A183" i="3"/>
  <c r="B183" i="3"/>
  <c r="C183" i="3"/>
  <c r="D183" i="3"/>
  <c r="E183" i="3"/>
  <c r="F183" i="3"/>
  <c r="G183" i="3"/>
  <c r="H183" i="3"/>
  <c r="A184" i="3"/>
  <c r="B184" i="3"/>
  <c r="C184" i="3"/>
  <c r="D184" i="3"/>
  <c r="E184" i="3"/>
  <c r="F184" i="3"/>
  <c r="G184" i="3"/>
  <c r="H184" i="3"/>
  <c r="A185" i="3"/>
  <c r="B185" i="3"/>
  <c r="C185" i="3"/>
  <c r="D185" i="3"/>
  <c r="E185" i="3"/>
  <c r="F185" i="3"/>
  <c r="G185" i="3"/>
  <c r="H185" i="3"/>
  <c r="A186" i="3"/>
  <c r="B186" i="3"/>
  <c r="C186" i="3"/>
  <c r="D186" i="3"/>
  <c r="E186" i="3"/>
  <c r="F186" i="3"/>
  <c r="G186" i="3"/>
  <c r="H186" i="3"/>
  <c r="A187" i="3"/>
  <c r="B187" i="3"/>
  <c r="C187" i="3"/>
  <c r="D187" i="3"/>
  <c r="E187" i="3"/>
  <c r="F187" i="3"/>
  <c r="G187" i="3"/>
  <c r="H187" i="3"/>
  <c r="A188" i="3"/>
  <c r="B188" i="3"/>
  <c r="C188" i="3"/>
  <c r="D188" i="3"/>
  <c r="E188" i="3"/>
  <c r="F188" i="3"/>
  <c r="G188" i="3"/>
  <c r="H188" i="3"/>
  <c r="A189" i="3"/>
  <c r="B189" i="3"/>
  <c r="C189" i="3"/>
  <c r="D189" i="3"/>
  <c r="E189" i="3"/>
  <c r="F189" i="3"/>
  <c r="G189" i="3"/>
  <c r="H189" i="3"/>
  <c r="A190" i="3"/>
  <c r="B190" i="3"/>
  <c r="C190" i="3"/>
  <c r="D190" i="3"/>
  <c r="E190" i="3"/>
  <c r="F190" i="3"/>
  <c r="G190" i="3"/>
  <c r="H190" i="3"/>
  <c r="A191" i="3"/>
  <c r="B191" i="3"/>
  <c r="C191" i="3"/>
  <c r="D191" i="3"/>
  <c r="E191" i="3"/>
  <c r="F191" i="3"/>
  <c r="G191" i="3"/>
  <c r="H191" i="3"/>
  <c r="A192" i="3"/>
  <c r="B192" i="3"/>
  <c r="C192" i="3"/>
  <c r="D192" i="3"/>
  <c r="E192" i="3"/>
  <c r="F192" i="3"/>
  <c r="G192" i="3"/>
  <c r="H192" i="3"/>
  <c r="A193" i="3"/>
  <c r="B193" i="3"/>
  <c r="C193" i="3"/>
  <c r="D193" i="3"/>
  <c r="E193" i="3"/>
  <c r="F193" i="3"/>
  <c r="G193" i="3"/>
  <c r="H193" i="3"/>
  <c r="A194" i="3"/>
  <c r="B194" i="3"/>
  <c r="C194" i="3"/>
  <c r="D194" i="3"/>
  <c r="E194" i="3"/>
  <c r="F194" i="3"/>
  <c r="G194" i="3"/>
  <c r="H194" i="3"/>
  <c r="A195" i="3"/>
  <c r="B195" i="3"/>
  <c r="C195" i="3"/>
  <c r="D195" i="3"/>
  <c r="E195" i="3"/>
  <c r="F195" i="3"/>
  <c r="G195" i="3"/>
  <c r="H195" i="3"/>
  <c r="A196" i="3"/>
  <c r="B196" i="3"/>
  <c r="C196" i="3"/>
  <c r="D196" i="3"/>
  <c r="E196" i="3"/>
  <c r="F196" i="3"/>
  <c r="G196" i="3"/>
  <c r="H196" i="3"/>
  <c r="A197" i="3"/>
  <c r="B197" i="3"/>
  <c r="C197" i="3"/>
  <c r="D197" i="3"/>
  <c r="E197" i="3"/>
  <c r="F197" i="3"/>
  <c r="G197" i="3"/>
  <c r="H197" i="3"/>
  <c r="A198" i="3"/>
  <c r="B198" i="3"/>
  <c r="C198" i="3"/>
  <c r="D198" i="3"/>
  <c r="E198" i="3"/>
  <c r="F198" i="3"/>
  <c r="G198" i="3"/>
  <c r="H198" i="3"/>
  <c r="A199" i="3"/>
  <c r="B199" i="3"/>
  <c r="C199" i="3"/>
  <c r="D199" i="3"/>
  <c r="E199" i="3"/>
  <c r="F199" i="3"/>
  <c r="G199" i="3"/>
  <c r="H199" i="3"/>
  <c r="A200" i="3"/>
  <c r="B200" i="3"/>
  <c r="C200" i="3"/>
  <c r="D200" i="3"/>
  <c r="E200" i="3"/>
  <c r="F200" i="3"/>
  <c r="G200" i="3"/>
  <c r="H200" i="3"/>
  <c r="A201" i="3"/>
  <c r="B201" i="3"/>
  <c r="C201" i="3"/>
  <c r="D201" i="3"/>
  <c r="E201" i="3"/>
  <c r="F201" i="3"/>
  <c r="G201" i="3"/>
  <c r="H201" i="3"/>
  <c r="A202" i="3"/>
  <c r="B202" i="3"/>
  <c r="C202" i="3"/>
  <c r="D202" i="3"/>
  <c r="E202" i="3"/>
  <c r="F202" i="3"/>
  <c r="G202" i="3"/>
  <c r="H202" i="3"/>
  <c r="A203" i="3"/>
  <c r="B203" i="3"/>
  <c r="C203" i="3"/>
  <c r="D203" i="3"/>
  <c r="E203" i="3"/>
  <c r="F203" i="3"/>
  <c r="G203" i="3"/>
  <c r="H203" i="3"/>
  <c r="A204" i="3"/>
  <c r="B204" i="3"/>
  <c r="C204" i="3"/>
  <c r="D204" i="3"/>
  <c r="E204" i="3"/>
  <c r="F204" i="3"/>
  <c r="G204" i="3"/>
  <c r="H204" i="3"/>
  <c r="A205" i="3"/>
  <c r="B205" i="3"/>
  <c r="C205" i="3"/>
  <c r="D205" i="3"/>
  <c r="E205" i="3"/>
  <c r="F205" i="3"/>
  <c r="G205" i="3"/>
  <c r="H205" i="3"/>
  <c r="A206" i="3"/>
  <c r="B206" i="3"/>
  <c r="C206" i="3"/>
  <c r="D206" i="3"/>
  <c r="E206" i="3"/>
  <c r="F206" i="3"/>
  <c r="G206" i="3"/>
  <c r="H206" i="3"/>
  <c r="A207" i="3"/>
  <c r="B207" i="3"/>
  <c r="C207" i="3"/>
  <c r="D207" i="3"/>
  <c r="E207" i="3"/>
  <c r="F207" i="3"/>
  <c r="G207" i="3"/>
  <c r="H207" i="3"/>
  <c r="A208" i="3"/>
  <c r="B208" i="3"/>
  <c r="C208" i="3"/>
  <c r="D208" i="3"/>
  <c r="E208" i="3"/>
  <c r="F208" i="3"/>
  <c r="G208" i="3"/>
  <c r="H208" i="3"/>
  <c r="A209" i="3"/>
  <c r="B209" i="3"/>
  <c r="C209" i="3"/>
  <c r="D209" i="3"/>
  <c r="E209" i="3"/>
  <c r="F209" i="3"/>
  <c r="G209" i="3"/>
  <c r="H209" i="3"/>
  <c r="A210" i="3"/>
  <c r="B210" i="3"/>
  <c r="C210" i="3"/>
  <c r="D210" i="3"/>
  <c r="E210" i="3"/>
  <c r="F210" i="3"/>
  <c r="G210" i="3"/>
  <c r="H210" i="3"/>
  <c r="A211" i="3"/>
  <c r="B211" i="3"/>
  <c r="C211" i="3"/>
  <c r="D211" i="3"/>
  <c r="E211" i="3"/>
  <c r="F211" i="3"/>
  <c r="G211" i="3"/>
  <c r="H211" i="3"/>
  <c r="A212" i="3"/>
  <c r="B212" i="3"/>
  <c r="C212" i="3"/>
  <c r="D212" i="3"/>
  <c r="E212" i="3"/>
  <c r="F212" i="3"/>
  <c r="G212" i="3"/>
  <c r="H212" i="3"/>
  <c r="A213" i="3"/>
  <c r="B213" i="3"/>
  <c r="C213" i="3"/>
  <c r="D213" i="3"/>
  <c r="E213" i="3"/>
  <c r="F213" i="3"/>
  <c r="G213" i="3"/>
  <c r="H213" i="3"/>
  <c r="A214" i="3"/>
  <c r="B214" i="3"/>
  <c r="C214" i="3"/>
  <c r="D214" i="3"/>
  <c r="E214" i="3"/>
  <c r="F214" i="3"/>
  <c r="G214" i="3"/>
  <c r="H214" i="3"/>
  <c r="A215" i="3"/>
  <c r="B215" i="3"/>
  <c r="C215" i="3"/>
  <c r="D215" i="3"/>
  <c r="E215" i="3"/>
  <c r="F215" i="3"/>
  <c r="G215" i="3"/>
  <c r="H215" i="3"/>
  <c r="A216" i="3"/>
  <c r="B216" i="3"/>
  <c r="C216" i="3"/>
  <c r="D216" i="3"/>
  <c r="E216" i="3"/>
  <c r="F216" i="3"/>
  <c r="G216" i="3"/>
  <c r="H216" i="3"/>
  <c r="A217" i="3"/>
  <c r="B217" i="3"/>
  <c r="C217" i="3"/>
  <c r="D217" i="3"/>
  <c r="E217" i="3"/>
  <c r="F217" i="3"/>
  <c r="G217" i="3"/>
  <c r="H217" i="3"/>
  <c r="A218" i="3"/>
  <c r="B218" i="3"/>
  <c r="C218" i="3"/>
  <c r="D218" i="3"/>
  <c r="E218" i="3"/>
  <c r="F218" i="3"/>
  <c r="G218" i="3"/>
  <c r="H218" i="3"/>
  <c r="A219" i="3"/>
  <c r="B219" i="3"/>
  <c r="C219" i="3"/>
  <c r="D219" i="3"/>
  <c r="E219" i="3"/>
  <c r="F219" i="3"/>
  <c r="G219" i="3"/>
  <c r="H219" i="3"/>
  <c r="A220" i="3"/>
  <c r="B220" i="3"/>
  <c r="C220" i="3"/>
  <c r="D220" i="3"/>
  <c r="E220" i="3"/>
  <c r="F220" i="3"/>
  <c r="G220" i="3"/>
  <c r="H220" i="3"/>
  <c r="A221" i="3"/>
  <c r="B221" i="3"/>
  <c r="C221" i="3"/>
  <c r="D221" i="3"/>
  <c r="E221" i="3"/>
  <c r="F221" i="3"/>
  <c r="G221" i="3"/>
  <c r="H221" i="3"/>
  <c r="A222" i="3"/>
  <c r="B222" i="3"/>
  <c r="C222" i="3"/>
  <c r="D222" i="3"/>
  <c r="E222" i="3"/>
  <c r="F222" i="3"/>
  <c r="G222" i="3"/>
  <c r="H222" i="3"/>
  <c r="A223" i="3"/>
  <c r="B223" i="3"/>
  <c r="C223" i="3"/>
  <c r="D223" i="3"/>
  <c r="E223" i="3"/>
  <c r="F223" i="3"/>
  <c r="G223" i="3"/>
  <c r="H223" i="3"/>
  <c r="A224" i="3"/>
  <c r="B224" i="3"/>
  <c r="C224" i="3"/>
  <c r="D224" i="3"/>
  <c r="E224" i="3"/>
  <c r="F224" i="3"/>
  <c r="G224" i="3"/>
  <c r="H224" i="3"/>
  <c r="A225" i="3"/>
  <c r="B225" i="3"/>
  <c r="C225" i="3"/>
  <c r="D225" i="3"/>
  <c r="E225" i="3"/>
  <c r="F225" i="3"/>
  <c r="G225" i="3"/>
  <c r="H225" i="3"/>
  <c r="A226" i="3"/>
  <c r="B226" i="3"/>
  <c r="C226" i="3"/>
  <c r="D226" i="3"/>
  <c r="E226" i="3"/>
  <c r="F226" i="3"/>
  <c r="G226" i="3"/>
  <c r="H226" i="3"/>
  <c r="A227" i="3"/>
  <c r="B227" i="3"/>
  <c r="C227" i="3"/>
  <c r="D227" i="3"/>
  <c r="E227" i="3"/>
  <c r="F227" i="3"/>
  <c r="G227" i="3"/>
  <c r="H227" i="3"/>
  <c r="A228" i="3"/>
  <c r="B228" i="3"/>
  <c r="C228" i="3"/>
  <c r="D228" i="3"/>
  <c r="E228" i="3"/>
  <c r="F228" i="3"/>
  <c r="G228" i="3"/>
  <c r="H228" i="3"/>
  <c r="A229" i="3"/>
  <c r="B229" i="3"/>
  <c r="C229" i="3"/>
  <c r="D229" i="3"/>
  <c r="E229" i="3"/>
  <c r="F229" i="3"/>
  <c r="G229" i="3"/>
  <c r="H229" i="3"/>
  <c r="A230" i="3"/>
  <c r="B230" i="3"/>
  <c r="C230" i="3"/>
  <c r="D230" i="3"/>
  <c r="E230" i="3"/>
  <c r="F230" i="3"/>
  <c r="G230" i="3"/>
  <c r="H230" i="3"/>
  <c r="A231" i="3"/>
  <c r="B231" i="3"/>
  <c r="C231" i="3"/>
  <c r="D231" i="3"/>
  <c r="E231" i="3"/>
  <c r="F231" i="3"/>
  <c r="G231" i="3"/>
  <c r="H231" i="3"/>
  <c r="A232" i="3"/>
  <c r="B232" i="3"/>
  <c r="C232" i="3"/>
  <c r="D232" i="3"/>
  <c r="E232" i="3"/>
  <c r="F232" i="3"/>
  <c r="G232" i="3"/>
  <c r="H232" i="3"/>
  <c r="A233" i="3"/>
  <c r="B233" i="3"/>
  <c r="C233" i="3"/>
  <c r="D233" i="3"/>
  <c r="E233" i="3"/>
  <c r="F233" i="3"/>
  <c r="G233" i="3"/>
  <c r="H233" i="3"/>
  <c r="A234" i="3"/>
  <c r="B234" i="3"/>
  <c r="C234" i="3"/>
  <c r="D234" i="3"/>
  <c r="E234" i="3"/>
  <c r="F234" i="3"/>
  <c r="G234" i="3"/>
  <c r="H234" i="3"/>
  <c r="A235" i="3"/>
  <c r="B235" i="3"/>
  <c r="C235" i="3"/>
  <c r="D235" i="3"/>
  <c r="E235" i="3"/>
  <c r="F235" i="3"/>
  <c r="G235" i="3"/>
  <c r="H235" i="3"/>
  <c r="A236" i="3"/>
  <c r="B236" i="3"/>
  <c r="C236" i="3"/>
  <c r="D236" i="3"/>
  <c r="E236" i="3"/>
  <c r="F236" i="3"/>
  <c r="G236" i="3"/>
  <c r="H236" i="3"/>
  <c r="A237" i="3"/>
  <c r="B237" i="3"/>
  <c r="C237" i="3"/>
  <c r="D237" i="3"/>
  <c r="E237" i="3"/>
  <c r="F237" i="3"/>
  <c r="G237" i="3"/>
  <c r="H237" i="3"/>
  <c r="A238" i="3"/>
  <c r="B238" i="3"/>
  <c r="C238" i="3"/>
  <c r="D238" i="3"/>
  <c r="E238" i="3"/>
  <c r="F238" i="3"/>
  <c r="G238" i="3"/>
  <c r="H238" i="3"/>
  <c r="A239" i="3"/>
  <c r="B239" i="3"/>
  <c r="C239" i="3"/>
  <c r="D239" i="3"/>
  <c r="E239" i="3"/>
  <c r="F239" i="3"/>
  <c r="G239" i="3"/>
  <c r="H239" i="3"/>
  <c r="A240" i="3"/>
  <c r="B240" i="3"/>
  <c r="C240" i="3"/>
  <c r="D240" i="3"/>
  <c r="E240" i="3"/>
  <c r="F240" i="3"/>
  <c r="G240" i="3"/>
  <c r="H240" i="3"/>
  <c r="A241" i="3"/>
  <c r="B241" i="3"/>
  <c r="C241" i="3"/>
  <c r="D241" i="3"/>
  <c r="E241" i="3"/>
  <c r="F241" i="3"/>
  <c r="G241" i="3"/>
  <c r="H241" i="3"/>
  <c r="A242" i="3"/>
  <c r="B242" i="3"/>
  <c r="C242" i="3"/>
  <c r="D242" i="3"/>
  <c r="E242" i="3"/>
  <c r="F242" i="3"/>
  <c r="G242" i="3"/>
  <c r="H242" i="3"/>
  <c r="A243" i="3"/>
  <c r="B243" i="3"/>
  <c r="C243" i="3"/>
  <c r="D243" i="3"/>
  <c r="E243" i="3"/>
  <c r="F243" i="3"/>
  <c r="G243" i="3"/>
  <c r="H243" i="3"/>
  <c r="A244" i="3"/>
  <c r="B244" i="3"/>
  <c r="C244" i="3"/>
  <c r="D244" i="3"/>
  <c r="E244" i="3"/>
  <c r="F244" i="3"/>
  <c r="G244" i="3"/>
  <c r="H244" i="3"/>
  <c r="A245" i="3"/>
  <c r="B245" i="3"/>
  <c r="C245" i="3"/>
  <c r="D245" i="3"/>
  <c r="E245" i="3"/>
  <c r="F245" i="3"/>
  <c r="G245" i="3"/>
  <c r="H245" i="3"/>
  <c r="A246" i="3"/>
  <c r="B246" i="3"/>
  <c r="C246" i="3"/>
  <c r="D246" i="3"/>
  <c r="E246" i="3"/>
  <c r="F246" i="3"/>
  <c r="G246" i="3"/>
  <c r="H246" i="3"/>
  <c r="A247" i="3"/>
  <c r="B247" i="3"/>
  <c r="C247" i="3"/>
  <c r="D247" i="3"/>
  <c r="E247" i="3"/>
  <c r="F247" i="3"/>
  <c r="G247" i="3"/>
  <c r="H247" i="3"/>
  <c r="A248" i="3"/>
  <c r="B248" i="3"/>
  <c r="C248" i="3"/>
  <c r="D248" i="3"/>
  <c r="E248" i="3"/>
  <c r="F248" i="3"/>
  <c r="G248" i="3"/>
  <c r="H248" i="3"/>
  <c r="A249" i="3"/>
  <c r="B249" i="3"/>
  <c r="C249" i="3"/>
  <c r="D249" i="3"/>
  <c r="E249" i="3"/>
  <c r="F249" i="3"/>
  <c r="G249" i="3"/>
  <c r="H249" i="3"/>
  <c r="A250" i="3"/>
  <c r="B250" i="3"/>
  <c r="C250" i="3"/>
  <c r="D250" i="3"/>
  <c r="E250" i="3"/>
  <c r="F250" i="3"/>
  <c r="G250" i="3"/>
  <c r="H250" i="3"/>
  <c r="A251" i="3"/>
  <c r="B251" i="3"/>
  <c r="C251" i="3"/>
  <c r="D251" i="3"/>
  <c r="E251" i="3"/>
  <c r="F251" i="3"/>
  <c r="G251" i="3"/>
  <c r="H251" i="3"/>
  <c r="A252" i="3"/>
  <c r="B252" i="3"/>
  <c r="C252" i="3"/>
  <c r="D252" i="3"/>
  <c r="E252" i="3"/>
  <c r="F252" i="3"/>
  <c r="G252" i="3"/>
  <c r="H252" i="3"/>
  <c r="A253" i="3"/>
  <c r="B253" i="3"/>
  <c r="C253" i="3"/>
  <c r="D253" i="3"/>
  <c r="E253" i="3"/>
  <c r="F253" i="3"/>
  <c r="G253" i="3"/>
  <c r="H253" i="3"/>
  <c r="A254" i="3"/>
  <c r="B254" i="3"/>
  <c r="C254" i="3"/>
  <c r="D254" i="3"/>
  <c r="E254" i="3"/>
  <c r="F254" i="3"/>
  <c r="G254" i="3"/>
  <c r="H254" i="3"/>
  <c r="A255" i="3"/>
  <c r="B255" i="3"/>
  <c r="C255" i="3"/>
  <c r="D255" i="3"/>
  <c r="E255" i="3"/>
  <c r="F255" i="3"/>
  <c r="G255" i="3"/>
  <c r="H255" i="3"/>
  <c r="A256" i="3"/>
  <c r="B256" i="3"/>
  <c r="C256" i="3"/>
  <c r="D256" i="3"/>
  <c r="E256" i="3"/>
  <c r="F256" i="3"/>
  <c r="G256" i="3"/>
  <c r="H256" i="3"/>
  <c r="A257" i="3"/>
  <c r="B257" i="3"/>
  <c r="C257" i="3"/>
  <c r="D257" i="3"/>
  <c r="E257" i="3"/>
  <c r="F257" i="3"/>
  <c r="G257" i="3"/>
  <c r="H257" i="3"/>
  <c r="A258" i="3"/>
  <c r="B258" i="3"/>
  <c r="C258" i="3"/>
  <c r="D258" i="3"/>
  <c r="E258" i="3"/>
  <c r="F258" i="3"/>
  <c r="G258" i="3"/>
  <c r="H258" i="3"/>
  <c r="A259" i="3"/>
  <c r="B259" i="3"/>
  <c r="C259" i="3"/>
  <c r="D259" i="3"/>
  <c r="E259" i="3"/>
  <c r="F259" i="3"/>
  <c r="G259" i="3"/>
  <c r="H259" i="3"/>
  <c r="A260" i="3"/>
  <c r="B260" i="3"/>
  <c r="C260" i="3"/>
  <c r="D260" i="3"/>
  <c r="E260" i="3"/>
  <c r="F260" i="3"/>
  <c r="G260" i="3"/>
  <c r="H260" i="3"/>
  <c r="A261" i="3"/>
  <c r="B261" i="3"/>
  <c r="C261" i="3"/>
  <c r="D261" i="3"/>
  <c r="E261" i="3"/>
  <c r="F261" i="3"/>
  <c r="G261" i="3"/>
  <c r="H261" i="3"/>
  <c r="A262" i="3"/>
  <c r="B262" i="3"/>
  <c r="C262" i="3"/>
  <c r="D262" i="3"/>
  <c r="E262" i="3"/>
  <c r="F262" i="3"/>
  <c r="G262" i="3"/>
  <c r="H262" i="3"/>
  <c r="A263" i="3"/>
  <c r="B263" i="3"/>
  <c r="C263" i="3"/>
  <c r="D263" i="3"/>
  <c r="E263" i="3"/>
  <c r="F263" i="3"/>
  <c r="G263" i="3"/>
  <c r="H263" i="3"/>
  <c r="A264" i="3"/>
  <c r="B264" i="3"/>
  <c r="C264" i="3"/>
  <c r="D264" i="3"/>
  <c r="E264" i="3"/>
  <c r="F264" i="3"/>
  <c r="G264" i="3"/>
  <c r="H264" i="3"/>
  <c r="A265" i="3"/>
  <c r="B265" i="3"/>
  <c r="C265" i="3"/>
  <c r="D265" i="3"/>
  <c r="E265" i="3"/>
  <c r="F265" i="3"/>
  <c r="G265" i="3"/>
  <c r="H265" i="3"/>
  <c r="A266" i="3"/>
  <c r="B266" i="3"/>
  <c r="C266" i="3"/>
  <c r="D266" i="3"/>
  <c r="E266" i="3"/>
  <c r="F266" i="3"/>
  <c r="G266" i="3"/>
  <c r="H266" i="3"/>
  <c r="A267" i="3"/>
  <c r="B267" i="3"/>
  <c r="C267" i="3"/>
  <c r="D267" i="3"/>
  <c r="E267" i="3"/>
  <c r="F267" i="3"/>
  <c r="G267" i="3"/>
  <c r="H267" i="3"/>
  <c r="A268" i="3"/>
  <c r="B268" i="3"/>
  <c r="C268" i="3"/>
  <c r="D268" i="3"/>
  <c r="E268" i="3"/>
  <c r="F268" i="3"/>
  <c r="G268" i="3"/>
  <c r="H268" i="3"/>
  <c r="A269" i="3"/>
  <c r="B269" i="3"/>
  <c r="C269" i="3"/>
  <c r="D269" i="3"/>
  <c r="E269" i="3"/>
  <c r="F269" i="3"/>
  <c r="G269" i="3"/>
  <c r="H269" i="3"/>
  <c r="A270" i="3"/>
  <c r="B270" i="3"/>
  <c r="C270" i="3"/>
  <c r="D270" i="3"/>
  <c r="E270" i="3"/>
  <c r="F270" i="3"/>
  <c r="G270" i="3"/>
  <c r="H270" i="3"/>
  <c r="A271" i="3"/>
  <c r="B271" i="3"/>
  <c r="C271" i="3"/>
  <c r="D271" i="3"/>
  <c r="E271" i="3"/>
  <c r="F271" i="3"/>
  <c r="G271" i="3"/>
  <c r="H271" i="3"/>
  <c r="A272" i="3"/>
  <c r="B272" i="3"/>
  <c r="C272" i="3"/>
  <c r="D272" i="3"/>
  <c r="E272" i="3"/>
  <c r="F272" i="3"/>
  <c r="G272" i="3"/>
  <c r="H272" i="3"/>
  <c r="A273" i="3"/>
  <c r="B273" i="3"/>
  <c r="C273" i="3"/>
  <c r="D273" i="3"/>
  <c r="E273" i="3"/>
  <c r="F273" i="3"/>
  <c r="G273" i="3"/>
  <c r="H273" i="3"/>
  <c r="A274" i="3"/>
  <c r="B274" i="3"/>
  <c r="C274" i="3"/>
  <c r="D274" i="3"/>
  <c r="E274" i="3"/>
  <c r="F274" i="3"/>
  <c r="G274" i="3"/>
  <c r="H274" i="3"/>
  <c r="A275" i="3"/>
  <c r="B275" i="3"/>
  <c r="C275" i="3"/>
  <c r="D275" i="3"/>
  <c r="E275" i="3"/>
  <c r="F275" i="3"/>
  <c r="G275" i="3"/>
  <c r="H275" i="3"/>
  <c r="A276" i="3"/>
  <c r="B276" i="3"/>
  <c r="C276" i="3"/>
  <c r="D276" i="3"/>
  <c r="E276" i="3"/>
  <c r="F276" i="3"/>
  <c r="G276" i="3"/>
  <c r="H276" i="3"/>
  <c r="A277" i="3"/>
  <c r="B277" i="3"/>
  <c r="C277" i="3"/>
  <c r="D277" i="3"/>
  <c r="E277" i="3"/>
  <c r="F277" i="3"/>
  <c r="G277" i="3"/>
  <c r="H277" i="3"/>
  <c r="A278" i="3"/>
  <c r="B278" i="3"/>
  <c r="C278" i="3"/>
  <c r="D278" i="3"/>
  <c r="E278" i="3"/>
  <c r="F278" i="3"/>
  <c r="G278" i="3"/>
  <c r="H278" i="3"/>
  <c r="A279" i="3"/>
  <c r="B279" i="3"/>
  <c r="C279" i="3"/>
  <c r="D279" i="3"/>
  <c r="E279" i="3"/>
  <c r="F279" i="3"/>
  <c r="G279" i="3"/>
  <c r="H279" i="3"/>
  <c r="A280" i="3"/>
  <c r="B280" i="3"/>
  <c r="C280" i="3"/>
  <c r="D280" i="3"/>
  <c r="E280" i="3"/>
  <c r="F280" i="3"/>
  <c r="G280" i="3"/>
  <c r="H280" i="3"/>
  <c r="A281" i="3"/>
  <c r="B281" i="3"/>
  <c r="C281" i="3"/>
  <c r="D281" i="3"/>
  <c r="E281" i="3"/>
  <c r="F281" i="3"/>
  <c r="G281" i="3"/>
  <c r="H281" i="3"/>
  <c r="A282" i="3"/>
  <c r="B282" i="3"/>
  <c r="C282" i="3"/>
  <c r="D282" i="3"/>
  <c r="E282" i="3"/>
  <c r="F282" i="3"/>
  <c r="G282" i="3"/>
  <c r="H282" i="3"/>
  <c r="A283" i="3"/>
  <c r="B283" i="3"/>
  <c r="C283" i="3"/>
  <c r="D283" i="3"/>
  <c r="E283" i="3"/>
  <c r="F283" i="3"/>
  <c r="G283" i="3"/>
  <c r="H283" i="3"/>
  <c r="A284" i="3"/>
  <c r="B284" i="3"/>
  <c r="C284" i="3"/>
  <c r="D284" i="3"/>
  <c r="E284" i="3"/>
  <c r="F284" i="3"/>
  <c r="G284" i="3"/>
  <c r="H284" i="3"/>
  <c r="A285" i="3"/>
  <c r="B285" i="3"/>
  <c r="C285" i="3"/>
  <c r="D285" i="3"/>
  <c r="E285" i="3"/>
  <c r="F285" i="3"/>
  <c r="G285" i="3"/>
  <c r="H285" i="3"/>
  <c r="A286" i="3"/>
  <c r="B286" i="3"/>
  <c r="C286" i="3"/>
  <c r="D286" i="3"/>
  <c r="E286" i="3"/>
  <c r="F286" i="3"/>
  <c r="G286" i="3"/>
  <c r="H286" i="3"/>
  <c r="A287" i="3"/>
  <c r="B287" i="3"/>
  <c r="C287" i="3"/>
  <c r="D287" i="3"/>
  <c r="E287" i="3"/>
  <c r="F287" i="3"/>
  <c r="G287" i="3"/>
  <c r="H287" i="3"/>
  <c r="A288" i="3"/>
  <c r="B288" i="3"/>
  <c r="C288" i="3"/>
  <c r="D288" i="3"/>
  <c r="E288" i="3"/>
  <c r="F288" i="3"/>
  <c r="G288" i="3"/>
  <c r="H288" i="3"/>
  <c r="A289" i="3"/>
  <c r="B289" i="3"/>
  <c r="C289" i="3"/>
  <c r="D289" i="3"/>
  <c r="E289" i="3"/>
  <c r="F289" i="3"/>
  <c r="G289" i="3"/>
  <c r="H289" i="3"/>
  <c r="A290" i="3"/>
  <c r="B290" i="3"/>
  <c r="C290" i="3"/>
  <c r="D290" i="3"/>
  <c r="E290" i="3"/>
  <c r="F290" i="3"/>
  <c r="G290" i="3"/>
  <c r="H290" i="3"/>
  <c r="A291" i="3"/>
  <c r="B291" i="3"/>
  <c r="C291" i="3"/>
  <c r="D291" i="3"/>
  <c r="E291" i="3"/>
  <c r="F291" i="3"/>
  <c r="G291" i="3"/>
  <c r="H291" i="3"/>
  <c r="A292" i="3"/>
  <c r="B292" i="3"/>
  <c r="C292" i="3"/>
  <c r="D292" i="3"/>
  <c r="E292" i="3"/>
  <c r="F292" i="3"/>
  <c r="G292" i="3"/>
  <c r="H292" i="3"/>
  <c r="A293" i="3"/>
  <c r="B293" i="3"/>
  <c r="C293" i="3"/>
  <c r="D293" i="3"/>
  <c r="E293" i="3"/>
  <c r="F293" i="3"/>
  <c r="G293" i="3"/>
  <c r="H293" i="3"/>
  <c r="A294" i="3"/>
  <c r="B294" i="3"/>
  <c r="C294" i="3"/>
  <c r="D294" i="3"/>
  <c r="E294" i="3"/>
  <c r="F294" i="3"/>
  <c r="G294" i="3"/>
  <c r="H294" i="3"/>
  <c r="A295" i="3"/>
  <c r="B295" i="3"/>
  <c r="C295" i="3"/>
  <c r="D295" i="3"/>
  <c r="E295" i="3"/>
  <c r="F295" i="3"/>
  <c r="G295" i="3"/>
  <c r="H295" i="3"/>
  <c r="A296" i="3"/>
  <c r="B296" i="3"/>
  <c r="C296" i="3"/>
  <c r="D296" i="3"/>
  <c r="E296" i="3"/>
  <c r="F296" i="3"/>
  <c r="G296" i="3"/>
  <c r="H296" i="3"/>
  <c r="A297" i="3"/>
  <c r="B297" i="3"/>
  <c r="C297" i="3"/>
  <c r="D297" i="3"/>
  <c r="E297" i="3"/>
  <c r="F297" i="3"/>
  <c r="G297" i="3"/>
  <c r="H297" i="3"/>
  <c r="A298" i="3"/>
  <c r="B298" i="3"/>
  <c r="C298" i="3"/>
  <c r="D298" i="3"/>
  <c r="E298" i="3"/>
  <c r="F298" i="3"/>
  <c r="G298" i="3"/>
  <c r="H298" i="3"/>
  <c r="A299" i="3"/>
  <c r="B299" i="3"/>
  <c r="C299" i="3"/>
  <c r="D299" i="3"/>
  <c r="E299" i="3"/>
  <c r="F299" i="3"/>
  <c r="G299" i="3"/>
  <c r="H299" i="3"/>
  <c r="A300" i="3"/>
  <c r="B300" i="3"/>
  <c r="C300" i="3"/>
  <c r="D300" i="3"/>
  <c r="E300" i="3"/>
  <c r="F300" i="3"/>
  <c r="G300" i="3"/>
  <c r="H300" i="3"/>
  <c r="A301" i="3"/>
  <c r="B301" i="3"/>
  <c r="C301" i="3"/>
  <c r="D301" i="3"/>
  <c r="E301" i="3"/>
  <c r="F301" i="3"/>
  <c r="G301" i="3"/>
  <c r="H301" i="3"/>
  <c r="A302" i="3"/>
  <c r="B302" i="3"/>
  <c r="C302" i="3"/>
  <c r="D302" i="3"/>
  <c r="E302" i="3"/>
  <c r="F302" i="3"/>
  <c r="G302" i="3"/>
  <c r="H302" i="3"/>
  <c r="A303" i="3"/>
  <c r="B303" i="3"/>
  <c r="C303" i="3"/>
  <c r="D303" i="3"/>
  <c r="E303" i="3"/>
  <c r="F303" i="3"/>
  <c r="G303" i="3"/>
  <c r="H303" i="3"/>
  <c r="A304" i="3"/>
  <c r="B304" i="3"/>
  <c r="C304" i="3"/>
  <c r="D304" i="3"/>
  <c r="E304" i="3"/>
  <c r="F304" i="3"/>
  <c r="G304" i="3"/>
  <c r="H304" i="3"/>
  <c r="A305" i="3"/>
  <c r="B305" i="3"/>
  <c r="C305" i="3"/>
  <c r="D305" i="3"/>
  <c r="E305" i="3"/>
  <c r="F305" i="3"/>
  <c r="G305" i="3"/>
  <c r="H305" i="3"/>
  <c r="A306" i="3"/>
  <c r="B306" i="3"/>
  <c r="C306" i="3"/>
  <c r="D306" i="3"/>
  <c r="E306" i="3"/>
  <c r="F306" i="3"/>
  <c r="G306" i="3"/>
  <c r="H306" i="3"/>
  <c r="A307" i="3"/>
  <c r="B307" i="3"/>
  <c r="C307" i="3"/>
  <c r="D307" i="3"/>
  <c r="E307" i="3"/>
  <c r="F307" i="3"/>
  <c r="G307" i="3"/>
  <c r="H307" i="3"/>
  <c r="A308" i="3"/>
  <c r="B308" i="3"/>
  <c r="C308" i="3"/>
  <c r="D308" i="3"/>
  <c r="E308" i="3"/>
  <c r="F308" i="3"/>
  <c r="G308" i="3"/>
  <c r="H308" i="3"/>
  <c r="A309" i="3"/>
  <c r="B309" i="3"/>
  <c r="C309" i="3"/>
  <c r="D309" i="3"/>
  <c r="E309" i="3"/>
  <c r="F309" i="3"/>
  <c r="G309" i="3"/>
  <c r="H309" i="3"/>
  <c r="A310" i="3"/>
  <c r="B310" i="3"/>
  <c r="C310" i="3"/>
  <c r="D310" i="3"/>
  <c r="E310" i="3"/>
  <c r="F310" i="3"/>
  <c r="G310" i="3"/>
  <c r="H310" i="3"/>
  <c r="A311" i="3"/>
  <c r="B311" i="3"/>
  <c r="C311" i="3"/>
  <c r="D311" i="3"/>
  <c r="E311" i="3"/>
  <c r="F311" i="3"/>
  <c r="G311" i="3"/>
  <c r="H311" i="3"/>
  <c r="A312" i="3"/>
  <c r="B312" i="3"/>
  <c r="C312" i="3"/>
  <c r="D312" i="3"/>
  <c r="E312" i="3"/>
  <c r="F312" i="3"/>
  <c r="G312" i="3"/>
  <c r="H312" i="3"/>
  <c r="A313" i="3"/>
  <c r="B313" i="3"/>
  <c r="C313" i="3"/>
  <c r="D313" i="3"/>
  <c r="E313" i="3"/>
  <c r="F313" i="3"/>
  <c r="G313" i="3"/>
  <c r="H313" i="3"/>
  <c r="A314" i="3"/>
  <c r="B314" i="3"/>
  <c r="C314" i="3"/>
  <c r="D314" i="3"/>
  <c r="E314" i="3"/>
  <c r="F314" i="3"/>
  <c r="G314" i="3"/>
  <c r="H314" i="3"/>
  <c r="A315" i="3"/>
  <c r="B315" i="3"/>
  <c r="C315" i="3"/>
  <c r="D315" i="3"/>
  <c r="E315" i="3"/>
  <c r="F315" i="3"/>
  <c r="G315" i="3"/>
  <c r="H315" i="3"/>
  <c r="A316" i="3"/>
  <c r="B316" i="3"/>
  <c r="C316" i="3"/>
  <c r="D316" i="3"/>
  <c r="E316" i="3"/>
  <c r="F316" i="3"/>
  <c r="G316" i="3"/>
  <c r="H316" i="3"/>
  <c r="A317" i="3"/>
  <c r="B317" i="3"/>
  <c r="C317" i="3"/>
  <c r="D317" i="3"/>
  <c r="E317" i="3"/>
  <c r="F317" i="3"/>
  <c r="G317" i="3"/>
  <c r="H317" i="3"/>
  <c r="A318" i="3"/>
  <c r="B318" i="3"/>
  <c r="C318" i="3"/>
  <c r="D318" i="3"/>
  <c r="E318" i="3"/>
  <c r="F318" i="3"/>
  <c r="G318" i="3"/>
  <c r="H318" i="3"/>
  <c r="H1" i="3"/>
  <c r="B1" i="3"/>
  <c r="C1" i="3"/>
  <c r="D1" i="3"/>
  <c r="E1" i="3"/>
  <c r="F1" i="3"/>
  <c r="G1" i="3"/>
  <c r="A1" i="3"/>
  <c r="K2" i="3" a="1"/>
  <c r="N15" i="4" l="1"/>
  <c r="I6" i="4" s="1"/>
  <c r="N2" i="3"/>
  <c r="N3" i="3"/>
  <c r="N4" i="3"/>
  <c r="K3" i="3"/>
  <c r="K2" i="3"/>
  <c r="L2" i="3"/>
  <c r="L3" i="3"/>
  <c r="L4" i="3"/>
  <c r="M2" i="3"/>
  <c r="M3" i="3"/>
  <c r="M4" i="3"/>
  <c r="K4" i="3"/>
  <c r="K6" i="2"/>
  <c r="L6" i="2"/>
  <c r="M6" i="2"/>
  <c r="J6" i="2"/>
  <c r="A27" i="2"/>
  <c r="B27" i="2"/>
  <c r="C27" i="2"/>
  <c r="D27" i="2"/>
  <c r="E27" i="2"/>
  <c r="F27" i="2"/>
  <c r="G27" i="2"/>
  <c r="H27" i="2"/>
  <c r="A28" i="2"/>
  <c r="B28" i="2"/>
  <c r="C28" i="2"/>
  <c r="D28" i="2"/>
  <c r="E28" i="2"/>
  <c r="F28" i="2"/>
  <c r="G28" i="2"/>
  <c r="H28" i="2"/>
  <c r="A29" i="2"/>
  <c r="B29" i="2"/>
  <c r="C29" i="2"/>
  <c r="D29" i="2"/>
  <c r="E29" i="2"/>
  <c r="F29" i="2"/>
  <c r="G29" i="2"/>
  <c r="H29" i="2"/>
  <c r="A30" i="2"/>
  <c r="B30" i="2"/>
  <c r="C30" i="2"/>
  <c r="D30" i="2"/>
  <c r="E30" i="2"/>
  <c r="F30" i="2"/>
  <c r="G30" i="2"/>
  <c r="H30" i="2"/>
  <c r="A31" i="2"/>
  <c r="B31" i="2"/>
  <c r="C31" i="2"/>
  <c r="D31" i="2"/>
  <c r="E31" i="2"/>
  <c r="F31" i="2"/>
  <c r="G31" i="2"/>
  <c r="H31" i="2"/>
  <c r="A32" i="2"/>
  <c r="B32" i="2"/>
  <c r="C32" i="2"/>
  <c r="D32" i="2"/>
  <c r="E32" i="2"/>
  <c r="F32" i="2"/>
  <c r="G32" i="2"/>
  <c r="H32" i="2"/>
  <c r="A33" i="2"/>
  <c r="B33" i="2"/>
  <c r="C33" i="2"/>
  <c r="D33" i="2"/>
  <c r="E33" i="2"/>
  <c r="F33" i="2"/>
  <c r="G33" i="2"/>
  <c r="H33" i="2"/>
  <c r="A34" i="2"/>
  <c r="B34" i="2"/>
  <c r="C34" i="2"/>
  <c r="D34" i="2"/>
  <c r="E34" i="2"/>
  <c r="F34" i="2"/>
  <c r="G34" i="2"/>
  <c r="H34" i="2"/>
  <c r="A35" i="2"/>
  <c r="B35" i="2"/>
  <c r="C35" i="2"/>
  <c r="D35" i="2"/>
  <c r="E35" i="2"/>
  <c r="F35" i="2"/>
  <c r="G35" i="2"/>
  <c r="H35" i="2"/>
  <c r="A36" i="2"/>
  <c r="B36" i="2"/>
  <c r="C36" i="2"/>
  <c r="D36" i="2"/>
  <c r="E36" i="2"/>
  <c r="F36" i="2"/>
  <c r="G36" i="2"/>
  <c r="H36" i="2"/>
  <c r="A37" i="2"/>
  <c r="B37" i="2"/>
  <c r="C37" i="2"/>
  <c r="D37" i="2"/>
  <c r="E37" i="2"/>
  <c r="F37" i="2"/>
  <c r="G37" i="2"/>
  <c r="H37" i="2"/>
  <c r="A38" i="2"/>
  <c r="B38" i="2"/>
  <c r="C38" i="2"/>
  <c r="D38" i="2"/>
  <c r="E38" i="2"/>
  <c r="F38" i="2"/>
  <c r="G38" i="2"/>
  <c r="H38" i="2"/>
  <c r="A39" i="2"/>
  <c r="B39" i="2"/>
  <c r="C39" i="2"/>
  <c r="D39" i="2"/>
  <c r="E39" i="2"/>
  <c r="F39" i="2"/>
  <c r="G39" i="2"/>
  <c r="H39" i="2"/>
  <c r="A40" i="2"/>
  <c r="B40" i="2"/>
  <c r="C40" i="2"/>
  <c r="D40" i="2"/>
  <c r="E40" i="2"/>
  <c r="F40" i="2"/>
  <c r="G40" i="2"/>
  <c r="H40" i="2"/>
  <c r="A41" i="2"/>
  <c r="B41" i="2"/>
  <c r="C41" i="2"/>
  <c r="D41" i="2"/>
  <c r="E41" i="2"/>
  <c r="F41" i="2"/>
  <c r="G41" i="2"/>
  <c r="H41" i="2"/>
  <c r="A42" i="2"/>
  <c r="B42" i="2"/>
  <c r="C42" i="2"/>
  <c r="D42" i="2"/>
  <c r="E42" i="2"/>
  <c r="F42" i="2"/>
  <c r="G42" i="2"/>
  <c r="H42" i="2"/>
  <c r="A43" i="2"/>
  <c r="B43" i="2"/>
  <c r="C43" i="2"/>
  <c r="D43" i="2"/>
  <c r="E43" i="2"/>
  <c r="F43" i="2"/>
  <c r="G43" i="2"/>
  <c r="H43" i="2"/>
  <c r="A44" i="2"/>
  <c r="B44" i="2"/>
  <c r="C44" i="2"/>
  <c r="D44" i="2"/>
  <c r="E44" i="2"/>
  <c r="F44" i="2"/>
  <c r="G44" i="2"/>
  <c r="H44" i="2"/>
  <c r="A45" i="2"/>
  <c r="B45" i="2"/>
  <c r="C45" i="2"/>
  <c r="D45" i="2"/>
  <c r="E45" i="2"/>
  <c r="F45" i="2"/>
  <c r="G45" i="2"/>
  <c r="H45" i="2"/>
  <c r="A46" i="2"/>
  <c r="B46" i="2"/>
  <c r="C46" i="2"/>
  <c r="D46" i="2"/>
  <c r="E46" i="2"/>
  <c r="F46" i="2"/>
  <c r="G46" i="2"/>
  <c r="H46" i="2"/>
  <c r="A47" i="2"/>
  <c r="B47" i="2"/>
  <c r="C47" i="2"/>
  <c r="D47" i="2"/>
  <c r="E47" i="2"/>
  <c r="F47" i="2"/>
  <c r="G47" i="2"/>
  <c r="H47" i="2"/>
  <c r="A48" i="2"/>
  <c r="B48" i="2"/>
  <c r="C48" i="2"/>
  <c r="D48" i="2"/>
  <c r="E48" i="2"/>
  <c r="F48" i="2"/>
  <c r="G48" i="2"/>
  <c r="H48" i="2"/>
  <c r="A49" i="2"/>
  <c r="B49" i="2"/>
  <c r="C49" i="2"/>
  <c r="D49" i="2"/>
  <c r="E49" i="2"/>
  <c r="F49" i="2"/>
  <c r="G49" i="2"/>
  <c r="H49" i="2"/>
  <c r="A50" i="2"/>
  <c r="B50" i="2"/>
  <c r="C50" i="2"/>
  <c r="D50" i="2"/>
  <c r="E50" i="2"/>
  <c r="F50" i="2"/>
  <c r="G50" i="2"/>
  <c r="H50" i="2"/>
  <c r="A51" i="2"/>
  <c r="B51" i="2"/>
  <c r="C51" i="2"/>
  <c r="D51" i="2"/>
  <c r="E51" i="2"/>
  <c r="F51" i="2"/>
  <c r="G51" i="2"/>
  <c r="H51" i="2"/>
  <c r="A52" i="2"/>
  <c r="B52" i="2"/>
  <c r="C52" i="2"/>
  <c r="D52" i="2"/>
  <c r="E52" i="2"/>
  <c r="F52" i="2"/>
  <c r="G52" i="2"/>
  <c r="H52" i="2"/>
  <c r="A53" i="2"/>
  <c r="B53" i="2"/>
  <c r="C53" i="2"/>
  <c r="D53" i="2"/>
  <c r="E53" i="2"/>
  <c r="F53" i="2"/>
  <c r="G53" i="2"/>
  <c r="H53" i="2"/>
  <c r="A54" i="2"/>
  <c r="B54" i="2"/>
  <c r="C54" i="2"/>
  <c r="D54" i="2"/>
  <c r="E54" i="2"/>
  <c r="F54" i="2"/>
  <c r="G54" i="2"/>
  <c r="H54" i="2"/>
  <c r="A55" i="2"/>
  <c r="B55" i="2"/>
  <c r="C55" i="2"/>
  <c r="D55" i="2"/>
  <c r="E55" i="2"/>
  <c r="F55" i="2"/>
  <c r="G55" i="2"/>
  <c r="H55" i="2"/>
  <c r="A56" i="2"/>
  <c r="B56" i="2"/>
  <c r="C56" i="2"/>
  <c r="D56" i="2"/>
  <c r="E56" i="2"/>
  <c r="F56" i="2"/>
  <c r="G56" i="2"/>
  <c r="H56" i="2"/>
  <c r="A57" i="2"/>
  <c r="B57" i="2"/>
  <c r="C57" i="2"/>
  <c r="D57" i="2"/>
  <c r="E57" i="2"/>
  <c r="F57" i="2"/>
  <c r="G57" i="2"/>
  <c r="H57" i="2"/>
  <c r="A58" i="2"/>
  <c r="B58" i="2"/>
  <c r="C58" i="2"/>
  <c r="D58" i="2"/>
  <c r="E58" i="2"/>
  <c r="F58" i="2"/>
  <c r="G58" i="2"/>
  <c r="H58" i="2"/>
  <c r="A59" i="2"/>
  <c r="B59" i="2"/>
  <c r="C59" i="2"/>
  <c r="D59" i="2"/>
  <c r="E59" i="2"/>
  <c r="F59" i="2"/>
  <c r="G59" i="2"/>
  <c r="H59" i="2"/>
  <c r="A60" i="2"/>
  <c r="B60" i="2"/>
  <c r="C60" i="2"/>
  <c r="D60" i="2"/>
  <c r="E60" i="2"/>
  <c r="F60" i="2"/>
  <c r="G60" i="2"/>
  <c r="H60" i="2"/>
  <c r="A61" i="2"/>
  <c r="B61" i="2"/>
  <c r="C61" i="2"/>
  <c r="D61" i="2"/>
  <c r="E61" i="2"/>
  <c r="F61" i="2"/>
  <c r="G61" i="2"/>
  <c r="H61" i="2"/>
  <c r="A62" i="2"/>
  <c r="B62" i="2"/>
  <c r="C62" i="2"/>
  <c r="D62" i="2"/>
  <c r="E62" i="2"/>
  <c r="F62" i="2"/>
  <c r="G62" i="2"/>
  <c r="H62" i="2"/>
  <c r="A63" i="2"/>
  <c r="B63" i="2"/>
  <c r="C63" i="2"/>
  <c r="D63" i="2"/>
  <c r="E63" i="2"/>
  <c r="F63" i="2"/>
  <c r="G63" i="2"/>
  <c r="H63" i="2"/>
  <c r="A64" i="2"/>
  <c r="B64" i="2"/>
  <c r="C64" i="2"/>
  <c r="D64" i="2"/>
  <c r="E64" i="2"/>
  <c r="F64" i="2"/>
  <c r="G64" i="2"/>
  <c r="H64" i="2"/>
  <c r="A65" i="2"/>
  <c r="B65" i="2"/>
  <c r="C65" i="2"/>
  <c r="D65" i="2"/>
  <c r="E65" i="2"/>
  <c r="F65" i="2"/>
  <c r="G65" i="2"/>
  <c r="H65" i="2"/>
  <c r="A66" i="2"/>
  <c r="B66" i="2"/>
  <c r="C66" i="2"/>
  <c r="D66" i="2"/>
  <c r="E66" i="2"/>
  <c r="F66" i="2"/>
  <c r="G66" i="2"/>
  <c r="H66" i="2"/>
  <c r="A67" i="2"/>
  <c r="B67" i="2"/>
  <c r="C67" i="2"/>
  <c r="D67" i="2"/>
  <c r="E67" i="2"/>
  <c r="F67" i="2"/>
  <c r="G67" i="2"/>
  <c r="H67" i="2"/>
  <c r="A68" i="2"/>
  <c r="B68" i="2"/>
  <c r="C68" i="2"/>
  <c r="D68" i="2"/>
  <c r="E68" i="2"/>
  <c r="F68" i="2"/>
  <c r="G68" i="2"/>
  <c r="H68" i="2"/>
  <c r="A69" i="2"/>
  <c r="B69" i="2"/>
  <c r="C69" i="2"/>
  <c r="D69" i="2"/>
  <c r="E69" i="2"/>
  <c r="F69" i="2"/>
  <c r="G69" i="2"/>
  <c r="H69" i="2"/>
  <c r="A70" i="2"/>
  <c r="B70" i="2"/>
  <c r="C70" i="2"/>
  <c r="D70" i="2"/>
  <c r="E70" i="2"/>
  <c r="F70" i="2"/>
  <c r="G70" i="2"/>
  <c r="H70" i="2"/>
  <c r="A71" i="2"/>
  <c r="B71" i="2"/>
  <c r="C71" i="2"/>
  <c r="D71" i="2"/>
  <c r="E71" i="2"/>
  <c r="F71" i="2"/>
  <c r="G71" i="2"/>
  <c r="H71" i="2"/>
  <c r="A72" i="2"/>
  <c r="B72" i="2"/>
  <c r="C72" i="2"/>
  <c r="D72" i="2"/>
  <c r="E72" i="2"/>
  <c r="F72" i="2"/>
  <c r="G72" i="2"/>
  <c r="H72" i="2"/>
  <c r="A73" i="2"/>
  <c r="B73" i="2"/>
  <c r="C73" i="2"/>
  <c r="D73" i="2"/>
  <c r="E73" i="2"/>
  <c r="F73" i="2"/>
  <c r="G73" i="2"/>
  <c r="H73" i="2"/>
  <c r="A74" i="2"/>
  <c r="B74" i="2"/>
  <c r="C74" i="2"/>
  <c r="D74" i="2"/>
  <c r="E74" i="2"/>
  <c r="F74" i="2"/>
  <c r="G74" i="2"/>
  <c r="H74" i="2"/>
  <c r="A75" i="2"/>
  <c r="B75" i="2"/>
  <c r="C75" i="2"/>
  <c r="D75" i="2"/>
  <c r="E75" i="2"/>
  <c r="F75" i="2"/>
  <c r="G75" i="2"/>
  <c r="H75" i="2"/>
  <c r="A76" i="2"/>
  <c r="B76" i="2"/>
  <c r="C76" i="2"/>
  <c r="D76" i="2"/>
  <c r="E76" i="2"/>
  <c r="F76" i="2"/>
  <c r="G76" i="2"/>
  <c r="H76" i="2"/>
  <c r="A77" i="2"/>
  <c r="B77" i="2"/>
  <c r="C77" i="2"/>
  <c r="D77" i="2"/>
  <c r="E77" i="2"/>
  <c r="F77" i="2"/>
  <c r="G77" i="2"/>
  <c r="H77" i="2"/>
  <c r="A78" i="2"/>
  <c r="B78" i="2"/>
  <c r="C78" i="2"/>
  <c r="D78" i="2"/>
  <c r="E78" i="2"/>
  <c r="F78" i="2"/>
  <c r="G78" i="2"/>
  <c r="H78" i="2"/>
  <c r="A79" i="2"/>
  <c r="B79" i="2"/>
  <c r="C79" i="2"/>
  <c r="D79" i="2"/>
  <c r="E79" i="2"/>
  <c r="F79" i="2"/>
  <c r="G79" i="2"/>
  <c r="H79" i="2"/>
  <c r="A80" i="2"/>
  <c r="B80" i="2"/>
  <c r="C80" i="2"/>
  <c r="D80" i="2"/>
  <c r="E80" i="2"/>
  <c r="F80" i="2"/>
  <c r="G80" i="2"/>
  <c r="H80" i="2"/>
  <c r="A81" i="2"/>
  <c r="B81" i="2"/>
  <c r="C81" i="2"/>
  <c r="D81" i="2"/>
  <c r="E81" i="2"/>
  <c r="F81" i="2"/>
  <c r="G81" i="2"/>
  <c r="H81" i="2"/>
  <c r="A82" i="2"/>
  <c r="B82" i="2"/>
  <c r="C82" i="2"/>
  <c r="D82" i="2"/>
  <c r="E82" i="2"/>
  <c r="F82" i="2"/>
  <c r="G82" i="2"/>
  <c r="H82" i="2"/>
  <c r="A83" i="2"/>
  <c r="B83" i="2"/>
  <c r="C83" i="2"/>
  <c r="D83" i="2"/>
  <c r="E83" i="2"/>
  <c r="F83" i="2"/>
  <c r="G83" i="2"/>
  <c r="H83" i="2"/>
  <c r="A84" i="2"/>
  <c r="B84" i="2"/>
  <c r="C84" i="2"/>
  <c r="D84" i="2"/>
  <c r="E84" i="2"/>
  <c r="F84" i="2"/>
  <c r="G84" i="2"/>
  <c r="H84" i="2"/>
  <c r="A85" i="2"/>
  <c r="B85" i="2"/>
  <c r="C85" i="2"/>
  <c r="D85" i="2"/>
  <c r="E85" i="2"/>
  <c r="F85" i="2"/>
  <c r="G85" i="2"/>
  <c r="H85" i="2"/>
  <c r="A86" i="2"/>
  <c r="B86" i="2"/>
  <c r="C86" i="2"/>
  <c r="D86" i="2"/>
  <c r="E86" i="2"/>
  <c r="F86" i="2"/>
  <c r="G86" i="2"/>
  <c r="H86" i="2"/>
  <c r="A87" i="2"/>
  <c r="B87" i="2"/>
  <c r="C87" i="2"/>
  <c r="D87" i="2"/>
  <c r="E87" i="2"/>
  <c r="F87" i="2"/>
  <c r="G87" i="2"/>
  <c r="H87" i="2"/>
  <c r="A88" i="2"/>
  <c r="B88" i="2"/>
  <c r="C88" i="2"/>
  <c r="D88" i="2"/>
  <c r="E88" i="2"/>
  <c r="F88" i="2"/>
  <c r="G88" i="2"/>
  <c r="H88" i="2"/>
  <c r="A89" i="2"/>
  <c r="B89" i="2"/>
  <c r="C89" i="2"/>
  <c r="D89" i="2"/>
  <c r="E89" i="2"/>
  <c r="F89" i="2"/>
  <c r="G89" i="2"/>
  <c r="H89" i="2"/>
  <c r="A90" i="2"/>
  <c r="B90" i="2"/>
  <c r="C90" i="2"/>
  <c r="D90" i="2"/>
  <c r="E90" i="2"/>
  <c r="F90" i="2"/>
  <c r="G90" i="2"/>
  <c r="H90" i="2"/>
  <c r="A91" i="2"/>
  <c r="B91" i="2"/>
  <c r="C91" i="2"/>
  <c r="D91" i="2"/>
  <c r="E91" i="2"/>
  <c r="F91" i="2"/>
  <c r="G91" i="2"/>
  <c r="H91" i="2"/>
  <c r="A92" i="2"/>
  <c r="B92" i="2"/>
  <c r="C92" i="2"/>
  <c r="D92" i="2"/>
  <c r="E92" i="2"/>
  <c r="F92" i="2"/>
  <c r="G92" i="2"/>
  <c r="H92" i="2"/>
  <c r="A93" i="2"/>
  <c r="B93" i="2"/>
  <c r="C93" i="2"/>
  <c r="D93" i="2"/>
  <c r="E93" i="2"/>
  <c r="F93" i="2"/>
  <c r="G93" i="2"/>
  <c r="H93" i="2"/>
  <c r="A94" i="2"/>
  <c r="B94" i="2"/>
  <c r="C94" i="2"/>
  <c r="D94" i="2"/>
  <c r="E94" i="2"/>
  <c r="F94" i="2"/>
  <c r="G94" i="2"/>
  <c r="H94" i="2"/>
  <c r="A95" i="2"/>
  <c r="B95" i="2"/>
  <c r="C95" i="2"/>
  <c r="D95" i="2"/>
  <c r="E95" i="2"/>
  <c r="F95" i="2"/>
  <c r="G95" i="2"/>
  <c r="H95" i="2"/>
  <c r="A96" i="2"/>
  <c r="B96" i="2"/>
  <c r="C96" i="2"/>
  <c r="D96" i="2"/>
  <c r="E96" i="2"/>
  <c r="F96" i="2"/>
  <c r="G96" i="2"/>
  <c r="H96" i="2"/>
  <c r="A97" i="2"/>
  <c r="B97" i="2"/>
  <c r="C97" i="2"/>
  <c r="D97" i="2"/>
  <c r="E97" i="2"/>
  <c r="F97" i="2"/>
  <c r="G97" i="2"/>
  <c r="H97" i="2"/>
  <c r="A98" i="2"/>
  <c r="B98" i="2"/>
  <c r="C98" i="2"/>
  <c r="D98" i="2"/>
  <c r="E98" i="2"/>
  <c r="F98" i="2"/>
  <c r="G98" i="2"/>
  <c r="H98" i="2"/>
  <c r="A99" i="2"/>
  <c r="B99" i="2"/>
  <c r="C99" i="2"/>
  <c r="D99" i="2"/>
  <c r="E99" i="2"/>
  <c r="F99" i="2"/>
  <c r="G99" i="2"/>
  <c r="H99" i="2"/>
  <c r="A100" i="2"/>
  <c r="B100" i="2"/>
  <c r="C100" i="2"/>
  <c r="D100" i="2"/>
  <c r="E100" i="2"/>
  <c r="F100" i="2"/>
  <c r="G100" i="2"/>
  <c r="H100" i="2"/>
  <c r="A101" i="2"/>
  <c r="B101" i="2"/>
  <c r="C101" i="2"/>
  <c r="D101" i="2"/>
  <c r="E101" i="2"/>
  <c r="F101" i="2"/>
  <c r="G101" i="2"/>
  <c r="H101" i="2"/>
  <c r="A102" i="2"/>
  <c r="B102" i="2"/>
  <c r="C102" i="2"/>
  <c r="D102" i="2"/>
  <c r="E102" i="2"/>
  <c r="F102" i="2"/>
  <c r="G102" i="2"/>
  <c r="H102" i="2"/>
  <c r="A103" i="2"/>
  <c r="B103" i="2"/>
  <c r="C103" i="2"/>
  <c r="D103" i="2"/>
  <c r="E103" i="2"/>
  <c r="F103" i="2"/>
  <c r="G103" i="2"/>
  <c r="H103" i="2"/>
  <c r="A104" i="2"/>
  <c r="B104" i="2"/>
  <c r="C104" i="2"/>
  <c r="D104" i="2"/>
  <c r="E104" i="2"/>
  <c r="F104" i="2"/>
  <c r="G104" i="2"/>
  <c r="H104" i="2"/>
  <c r="A105" i="2"/>
  <c r="B105" i="2"/>
  <c r="C105" i="2"/>
  <c r="D105" i="2"/>
  <c r="E105" i="2"/>
  <c r="F105" i="2"/>
  <c r="G105" i="2"/>
  <c r="H105" i="2"/>
  <c r="A106" i="2"/>
  <c r="B106" i="2"/>
  <c r="C106" i="2"/>
  <c r="D106" i="2"/>
  <c r="E106" i="2"/>
  <c r="F106" i="2"/>
  <c r="G106" i="2"/>
  <c r="H106" i="2"/>
  <c r="A107" i="2"/>
  <c r="B107" i="2"/>
  <c r="C107" i="2"/>
  <c r="D107" i="2"/>
  <c r="E107" i="2"/>
  <c r="F107" i="2"/>
  <c r="G107" i="2"/>
  <c r="H107" i="2"/>
  <c r="A108" i="2"/>
  <c r="B108" i="2"/>
  <c r="C108" i="2"/>
  <c r="D108" i="2"/>
  <c r="E108" i="2"/>
  <c r="F108" i="2"/>
  <c r="G108" i="2"/>
  <c r="H108" i="2"/>
  <c r="A109" i="2"/>
  <c r="B109" i="2"/>
  <c r="C109" i="2"/>
  <c r="D109" i="2"/>
  <c r="E109" i="2"/>
  <c r="F109" i="2"/>
  <c r="G109" i="2"/>
  <c r="H109" i="2"/>
  <c r="A110" i="2"/>
  <c r="B110" i="2"/>
  <c r="C110" i="2"/>
  <c r="D110" i="2"/>
  <c r="E110" i="2"/>
  <c r="F110" i="2"/>
  <c r="G110" i="2"/>
  <c r="H110" i="2"/>
  <c r="A111" i="2"/>
  <c r="B111" i="2"/>
  <c r="C111" i="2"/>
  <c r="D111" i="2"/>
  <c r="E111" i="2"/>
  <c r="F111" i="2"/>
  <c r="G111" i="2"/>
  <c r="H111" i="2"/>
  <c r="A112" i="2"/>
  <c r="B112" i="2"/>
  <c r="C112" i="2"/>
  <c r="D112" i="2"/>
  <c r="E112" i="2"/>
  <c r="F112" i="2"/>
  <c r="G112" i="2"/>
  <c r="H112" i="2"/>
  <c r="A113" i="2"/>
  <c r="B113" i="2"/>
  <c r="C113" i="2"/>
  <c r="D113" i="2"/>
  <c r="E113" i="2"/>
  <c r="F113" i="2"/>
  <c r="G113" i="2"/>
  <c r="H113" i="2"/>
  <c r="A114" i="2"/>
  <c r="B114" i="2"/>
  <c r="C114" i="2"/>
  <c r="D114" i="2"/>
  <c r="E114" i="2"/>
  <c r="F114" i="2"/>
  <c r="G114" i="2"/>
  <c r="H114" i="2"/>
  <c r="A115" i="2"/>
  <c r="B115" i="2"/>
  <c r="C115" i="2"/>
  <c r="D115" i="2"/>
  <c r="E115" i="2"/>
  <c r="F115" i="2"/>
  <c r="G115" i="2"/>
  <c r="H115" i="2"/>
  <c r="A116" i="2"/>
  <c r="B116" i="2"/>
  <c r="C116" i="2"/>
  <c r="D116" i="2"/>
  <c r="E116" i="2"/>
  <c r="F116" i="2"/>
  <c r="G116" i="2"/>
  <c r="H116" i="2"/>
  <c r="A117" i="2"/>
  <c r="B117" i="2"/>
  <c r="C117" i="2"/>
  <c r="D117" i="2"/>
  <c r="E117" i="2"/>
  <c r="F117" i="2"/>
  <c r="G117" i="2"/>
  <c r="H117" i="2"/>
  <c r="A118" i="2"/>
  <c r="B118" i="2"/>
  <c r="C118" i="2"/>
  <c r="D118" i="2"/>
  <c r="E118" i="2"/>
  <c r="F118" i="2"/>
  <c r="G118" i="2"/>
  <c r="H118" i="2"/>
  <c r="A119" i="2"/>
  <c r="B119" i="2"/>
  <c r="C119" i="2"/>
  <c r="D119" i="2"/>
  <c r="E119" i="2"/>
  <c r="F119" i="2"/>
  <c r="G119" i="2"/>
  <c r="H119" i="2"/>
  <c r="A120" i="2"/>
  <c r="B120" i="2"/>
  <c r="C120" i="2"/>
  <c r="D120" i="2"/>
  <c r="E120" i="2"/>
  <c r="F120" i="2"/>
  <c r="G120" i="2"/>
  <c r="H120" i="2"/>
  <c r="A121" i="2"/>
  <c r="B121" i="2"/>
  <c r="C121" i="2"/>
  <c r="D121" i="2"/>
  <c r="E121" i="2"/>
  <c r="F121" i="2"/>
  <c r="G121" i="2"/>
  <c r="H121" i="2"/>
  <c r="A122" i="2"/>
  <c r="B122" i="2"/>
  <c r="C122" i="2"/>
  <c r="D122" i="2"/>
  <c r="E122" i="2"/>
  <c r="F122" i="2"/>
  <c r="G122" i="2"/>
  <c r="H122" i="2"/>
  <c r="A123" i="2"/>
  <c r="B123" i="2"/>
  <c r="C123" i="2"/>
  <c r="D123" i="2"/>
  <c r="E123" i="2"/>
  <c r="F123" i="2"/>
  <c r="G123" i="2"/>
  <c r="H123" i="2"/>
  <c r="A124" i="2"/>
  <c r="B124" i="2"/>
  <c r="C124" i="2"/>
  <c r="D124" i="2"/>
  <c r="E124" i="2"/>
  <c r="F124" i="2"/>
  <c r="G124" i="2"/>
  <c r="H124" i="2"/>
  <c r="A125" i="2"/>
  <c r="B125" i="2"/>
  <c r="C125" i="2"/>
  <c r="D125" i="2"/>
  <c r="E125" i="2"/>
  <c r="F125" i="2"/>
  <c r="G125" i="2"/>
  <c r="H125" i="2"/>
  <c r="A126" i="2"/>
  <c r="B126" i="2"/>
  <c r="C126" i="2"/>
  <c r="D126" i="2"/>
  <c r="E126" i="2"/>
  <c r="F126" i="2"/>
  <c r="G126" i="2"/>
  <c r="H126" i="2"/>
  <c r="A127" i="2"/>
  <c r="B127" i="2"/>
  <c r="C127" i="2"/>
  <c r="D127" i="2"/>
  <c r="E127" i="2"/>
  <c r="F127" i="2"/>
  <c r="G127" i="2"/>
  <c r="H127" i="2"/>
  <c r="A128" i="2"/>
  <c r="B128" i="2"/>
  <c r="C128" i="2"/>
  <c r="D128" i="2"/>
  <c r="E128" i="2"/>
  <c r="F128" i="2"/>
  <c r="G128" i="2"/>
  <c r="H128" i="2"/>
  <c r="A129" i="2"/>
  <c r="B129" i="2"/>
  <c r="C129" i="2"/>
  <c r="D129" i="2"/>
  <c r="E129" i="2"/>
  <c r="F129" i="2"/>
  <c r="G129" i="2"/>
  <c r="H129" i="2"/>
  <c r="A130" i="2"/>
  <c r="B130" i="2"/>
  <c r="C130" i="2"/>
  <c r="D130" i="2"/>
  <c r="E130" i="2"/>
  <c r="F130" i="2"/>
  <c r="G130" i="2"/>
  <c r="H130" i="2"/>
  <c r="A131" i="2"/>
  <c r="B131" i="2"/>
  <c r="C131" i="2"/>
  <c r="D131" i="2"/>
  <c r="E131" i="2"/>
  <c r="F131" i="2"/>
  <c r="G131" i="2"/>
  <c r="H131" i="2"/>
  <c r="A132" i="2"/>
  <c r="B132" i="2"/>
  <c r="C132" i="2"/>
  <c r="D132" i="2"/>
  <c r="E132" i="2"/>
  <c r="F132" i="2"/>
  <c r="G132" i="2"/>
  <c r="H132" i="2"/>
  <c r="A133" i="2"/>
  <c r="B133" i="2"/>
  <c r="C133" i="2"/>
  <c r="D133" i="2"/>
  <c r="E133" i="2"/>
  <c r="F133" i="2"/>
  <c r="G133" i="2"/>
  <c r="H133" i="2"/>
  <c r="A134" i="2"/>
  <c r="B134" i="2"/>
  <c r="C134" i="2"/>
  <c r="D134" i="2"/>
  <c r="E134" i="2"/>
  <c r="F134" i="2"/>
  <c r="G134" i="2"/>
  <c r="H134" i="2"/>
  <c r="A135" i="2"/>
  <c r="B135" i="2"/>
  <c r="C135" i="2"/>
  <c r="D135" i="2"/>
  <c r="E135" i="2"/>
  <c r="F135" i="2"/>
  <c r="G135" i="2"/>
  <c r="H135" i="2"/>
  <c r="A136" i="2"/>
  <c r="B136" i="2"/>
  <c r="C136" i="2"/>
  <c r="D136" i="2"/>
  <c r="E136" i="2"/>
  <c r="F136" i="2"/>
  <c r="G136" i="2"/>
  <c r="H136" i="2"/>
  <c r="A137" i="2"/>
  <c r="B137" i="2"/>
  <c r="C137" i="2"/>
  <c r="D137" i="2"/>
  <c r="E137" i="2"/>
  <c r="F137" i="2"/>
  <c r="G137" i="2"/>
  <c r="H137" i="2"/>
  <c r="A138" i="2"/>
  <c r="B138" i="2"/>
  <c r="C138" i="2"/>
  <c r="D138" i="2"/>
  <c r="E138" i="2"/>
  <c r="F138" i="2"/>
  <c r="G138" i="2"/>
  <c r="H138" i="2"/>
  <c r="A139" i="2"/>
  <c r="B139" i="2"/>
  <c r="C139" i="2"/>
  <c r="D139" i="2"/>
  <c r="E139" i="2"/>
  <c r="F139" i="2"/>
  <c r="G139" i="2"/>
  <c r="H139" i="2"/>
  <c r="A140" i="2"/>
  <c r="B140" i="2"/>
  <c r="C140" i="2"/>
  <c r="D140" i="2"/>
  <c r="E140" i="2"/>
  <c r="F140" i="2"/>
  <c r="G140" i="2"/>
  <c r="H140" i="2"/>
  <c r="A141" i="2"/>
  <c r="B141" i="2"/>
  <c r="C141" i="2"/>
  <c r="D141" i="2"/>
  <c r="E141" i="2"/>
  <c r="F141" i="2"/>
  <c r="G141" i="2"/>
  <c r="H141" i="2"/>
  <c r="A142" i="2"/>
  <c r="B142" i="2"/>
  <c r="C142" i="2"/>
  <c r="D142" i="2"/>
  <c r="E142" i="2"/>
  <c r="F142" i="2"/>
  <c r="G142" i="2"/>
  <c r="H142" i="2"/>
  <c r="A143" i="2"/>
  <c r="B143" i="2"/>
  <c r="C143" i="2"/>
  <c r="D143" i="2"/>
  <c r="E143" i="2"/>
  <c r="F143" i="2"/>
  <c r="G143" i="2"/>
  <c r="H143" i="2"/>
  <c r="A144" i="2"/>
  <c r="B144" i="2"/>
  <c r="C144" i="2"/>
  <c r="D144" i="2"/>
  <c r="E144" i="2"/>
  <c r="F144" i="2"/>
  <c r="G144" i="2"/>
  <c r="H144" i="2"/>
  <c r="A145" i="2"/>
  <c r="B145" i="2"/>
  <c r="C145" i="2"/>
  <c r="D145" i="2"/>
  <c r="E145" i="2"/>
  <c r="F145" i="2"/>
  <c r="G145" i="2"/>
  <c r="H145" i="2"/>
  <c r="A146" i="2"/>
  <c r="B146" i="2"/>
  <c r="C146" i="2"/>
  <c r="D146" i="2"/>
  <c r="E146" i="2"/>
  <c r="F146" i="2"/>
  <c r="G146" i="2"/>
  <c r="H146" i="2"/>
  <c r="A147" i="2"/>
  <c r="B147" i="2"/>
  <c r="C147" i="2"/>
  <c r="D147" i="2"/>
  <c r="E147" i="2"/>
  <c r="F147" i="2"/>
  <c r="G147" i="2"/>
  <c r="H147" i="2"/>
  <c r="A148" i="2"/>
  <c r="B148" i="2"/>
  <c r="C148" i="2"/>
  <c r="D148" i="2"/>
  <c r="E148" i="2"/>
  <c r="F148" i="2"/>
  <c r="G148" i="2"/>
  <c r="H148" i="2"/>
  <c r="A149" i="2"/>
  <c r="B149" i="2"/>
  <c r="C149" i="2"/>
  <c r="D149" i="2"/>
  <c r="E149" i="2"/>
  <c r="F149" i="2"/>
  <c r="G149" i="2"/>
  <c r="H149" i="2"/>
  <c r="A150" i="2"/>
  <c r="B150" i="2"/>
  <c r="C150" i="2"/>
  <c r="D150" i="2"/>
  <c r="E150" i="2"/>
  <c r="F150" i="2"/>
  <c r="G150" i="2"/>
  <c r="H150" i="2"/>
  <c r="A151" i="2"/>
  <c r="B151" i="2"/>
  <c r="C151" i="2"/>
  <c r="D151" i="2"/>
  <c r="E151" i="2"/>
  <c r="F151" i="2"/>
  <c r="G151" i="2"/>
  <c r="H151" i="2"/>
  <c r="A152" i="2"/>
  <c r="B152" i="2"/>
  <c r="C152" i="2"/>
  <c r="D152" i="2"/>
  <c r="E152" i="2"/>
  <c r="F152" i="2"/>
  <c r="G152" i="2"/>
  <c r="H152" i="2"/>
  <c r="A153" i="2"/>
  <c r="B153" i="2"/>
  <c r="C153" i="2"/>
  <c r="D153" i="2"/>
  <c r="E153" i="2"/>
  <c r="F153" i="2"/>
  <c r="G153" i="2"/>
  <c r="H153" i="2"/>
  <c r="A154" i="2"/>
  <c r="B154" i="2"/>
  <c r="C154" i="2"/>
  <c r="D154" i="2"/>
  <c r="E154" i="2"/>
  <c r="F154" i="2"/>
  <c r="G154" i="2"/>
  <c r="H154" i="2"/>
  <c r="A155" i="2"/>
  <c r="B155" i="2"/>
  <c r="C155" i="2"/>
  <c r="D155" i="2"/>
  <c r="E155" i="2"/>
  <c r="F155" i="2"/>
  <c r="G155" i="2"/>
  <c r="H155" i="2"/>
  <c r="A156" i="2"/>
  <c r="B156" i="2"/>
  <c r="C156" i="2"/>
  <c r="D156" i="2"/>
  <c r="E156" i="2"/>
  <c r="F156" i="2"/>
  <c r="G156" i="2"/>
  <c r="H156" i="2"/>
  <c r="A157" i="2"/>
  <c r="B157" i="2"/>
  <c r="C157" i="2"/>
  <c r="D157" i="2"/>
  <c r="E157" i="2"/>
  <c r="F157" i="2"/>
  <c r="G157" i="2"/>
  <c r="H157" i="2"/>
  <c r="A158" i="2"/>
  <c r="B158" i="2"/>
  <c r="C158" i="2"/>
  <c r="D158" i="2"/>
  <c r="E158" i="2"/>
  <c r="F158" i="2"/>
  <c r="G158" i="2"/>
  <c r="H158" i="2"/>
  <c r="A159" i="2"/>
  <c r="B159" i="2"/>
  <c r="C159" i="2"/>
  <c r="D159" i="2"/>
  <c r="E159" i="2"/>
  <c r="F159" i="2"/>
  <c r="G159" i="2"/>
  <c r="H159" i="2"/>
  <c r="A160" i="2"/>
  <c r="B160" i="2"/>
  <c r="C160" i="2"/>
  <c r="D160" i="2"/>
  <c r="E160" i="2"/>
  <c r="F160" i="2"/>
  <c r="G160" i="2"/>
  <c r="H160" i="2"/>
  <c r="A161" i="2"/>
  <c r="B161" i="2"/>
  <c r="C161" i="2"/>
  <c r="D161" i="2"/>
  <c r="E161" i="2"/>
  <c r="F161" i="2"/>
  <c r="G161" i="2"/>
  <c r="H161" i="2"/>
  <c r="A162" i="2"/>
  <c r="B162" i="2"/>
  <c r="C162" i="2"/>
  <c r="D162" i="2"/>
  <c r="E162" i="2"/>
  <c r="F162" i="2"/>
  <c r="G162" i="2"/>
  <c r="H162" i="2"/>
  <c r="A163" i="2"/>
  <c r="B163" i="2"/>
  <c r="C163" i="2"/>
  <c r="D163" i="2"/>
  <c r="E163" i="2"/>
  <c r="F163" i="2"/>
  <c r="G163" i="2"/>
  <c r="H163" i="2"/>
  <c r="A164" i="2"/>
  <c r="B164" i="2"/>
  <c r="C164" i="2"/>
  <c r="D164" i="2"/>
  <c r="E164" i="2"/>
  <c r="F164" i="2"/>
  <c r="G164" i="2"/>
  <c r="H164" i="2"/>
  <c r="A165" i="2"/>
  <c r="B165" i="2"/>
  <c r="C165" i="2"/>
  <c r="D165" i="2"/>
  <c r="E165" i="2"/>
  <c r="F165" i="2"/>
  <c r="G165" i="2"/>
  <c r="H165" i="2"/>
  <c r="A166" i="2"/>
  <c r="B166" i="2"/>
  <c r="C166" i="2"/>
  <c r="D166" i="2"/>
  <c r="E166" i="2"/>
  <c r="F166" i="2"/>
  <c r="G166" i="2"/>
  <c r="H166" i="2"/>
  <c r="A167" i="2"/>
  <c r="B167" i="2"/>
  <c r="C167" i="2"/>
  <c r="D167" i="2"/>
  <c r="E167" i="2"/>
  <c r="F167" i="2"/>
  <c r="G167" i="2"/>
  <c r="H167" i="2"/>
  <c r="A168" i="2"/>
  <c r="B168" i="2"/>
  <c r="C168" i="2"/>
  <c r="D168" i="2"/>
  <c r="E168" i="2"/>
  <c r="F168" i="2"/>
  <c r="G168" i="2"/>
  <c r="H168" i="2"/>
  <c r="A169" i="2"/>
  <c r="B169" i="2"/>
  <c r="C169" i="2"/>
  <c r="D169" i="2"/>
  <c r="E169" i="2"/>
  <c r="F169" i="2"/>
  <c r="G169" i="2"/>
  <c r="H169" i="2"/>
  <c r="A170" i="2"/>
  <c r="B170" i="2"/>
  <c r="C170" i="2"/>
  <c r="D170" i="2"/>
  <c r="E170" i="2"/>
  <c r="F170" i="2"/>
  <c r="G170" i="2"/>
  <c r="H170" i="2"/>
  <c r="A171" i="2"/>
  <c r="B171" i="2"/>
  <c r="C171" i="2"/>
  <c r="D171" i="2"/>
  <c r="E171" i="2"/>
  <c r="F171" i="2"/>
  <c r="G171" i="2"/>
  <c r="H171" i="2"/>
  <c r="A172" i="2"/>
  <c r="B172" i="2"/>
  <c r="C172" i="2"/>
  <c r="D172" i="2"/>
  <c r="E172" i="2"/>
  <c r="F172" i="2"/>
  <c r="G172" i="2"/>
  <c r="H172" i="2"/>
  <c r="A173" i="2"/>
  <c r="B173" i="2"/>
  <c r="C173" i="2"/>
  <c r="D173" i="2"/>
  <c r="E173" i="2"/>
  <c r="F173" i="2"/>
  <c r="G173" i="2"/>
  <c r="H173" i="2"/>
  <c r="A174" i="2"/>
  <c r="B174" i="2"/>
  <c r="C174" i="2"/>
  <c r="D174" i="2"/>
  <c r="E174" i="2"/>
  <c r="F174" i="2"/>
  <c r="G174" i="2"/>
  <c r="H174" i="2"/>
  <c r="A175" i="2"/>
  <c r="B175" i="2"/>
  <c r="C175" i="2"/>
  <c r="D175" i="2"/>
  <c r="E175" i="2"/>
  <c r="F175" i="2"/>
  <c r="G175" i="2"/>
  <c r="H175" i="2"/>
  <c r="A176" i="2"/>
  <c r="B176" i="2"/>
  <c r="C176" i="2"/>
  <c r="D176" i="2"/>
  <c r="E176" i="2"/>
  <c r="F176" i="2"/>
  <c r="G176" i="2"/>
  <c r="H176" i="2"/>
  <c r="A177" i="2"/>
  <c r="B177" i="2"/>
  <c r="C177" i="2"/>
  <c r="D177" i="2"/>
  <c r="E177" i="2"/>
  <c r="F177" i="2"/>
  <c r="G177" i="2"/>
  <c r="H177" i="2"/>
  <c r="A178" i="2"/>
  <c r="B178" i="2"/>
  <c r="C178" i="2"/>
  <c r="D178" i="2"/>
  <c r="E178" i="2"/>
  <c r="F178" i="2"/>
  <c r="G178" i="2"/>
  <c r="H178" i="2"/>
  <c r="A179" i="2"/>
  <c r="B179" i="2"/>
  <c r="C179" i="2"/>
  <c r="D179" i="2"/>
  <c r="E179" i="2"/>
  <c r="F179" i="2"/>
  <c r="G179" i="2"/>
  <c r="H179" i="2"/>
  <c r="A180" i="2"/>
  <c r="B180" i="2"/>
  <c r="C180" i="2"/>
  <c r="D180" i="2"/>
  <c r="E180" i="2"/>
  <c r="F180" i="2"/>
  <c r="G180" i="2"/>
  <c r="H180" i="2"/>
  <c r="A181" i="2"/>
  <c r="B181" i="2"/>
  <c r="C181" i="2"/>
  <c r="D181" i="2"/>
  <c r="E181" i="2"/>
  <c r="F181" i="2"/>
  <c r="G181" i="2"/>
  <c r="H181" i="2"/>
  <c r="A182" i="2"/>
  <c r="B182" i="2"/>
  <c r="C182" i="2"/>
  <c r="D182" i="2"/>
  <c r="E182" i="2"/>
  <c r="F182" i="2"/>
  <c r="G182" i="2"/>
  <c r="H182" i="2"/>
  <c r="A183" i="2"/>
  <c r="B183" i="2"/>
  <c r="C183" i="2"/>
  <c r="D183" i="2"/>
  <c r="E183" i="2"/>
  <c r="F183" i="2"/>
  <c r="G183" i="2"/>
  <c r="H183" i="2"/>
  <c r="A184" i="2"/>
  <c r="B184" i="2"/>
  <c r="C184" i="2"/>
  <c r="D184" i="2"/>
  <c r="E184" i="2"/>
  <c r="F184" i="2"/>
  <c r="G184" i="2"/>
  <c r="H184" i="2"/>
  <c r="A185" i="2"/>
  <c r="B185" i="2"/>
  <c r="C185" i="2"/>
  <c r="D185" i="2"/>
  <c r="E185" i="2"/>
  <c r="F185" i="2"/>
  <c r="G185" i="2"/>
  <c r="H185" i="2"/>
  <c r="A186" i="2"/>
  <c r="B186" i="2"/>
  <c r="C186" i="2"/>
  <c r="D186" i="2"/>
  <c r="E186" i="2"/>
  <c r="F186" i="2"/>
  <c r="G186" i="2"/>
  <c r="H186" i="2"/>
  <c r="A187" i="2"/>
  <c r="B187" i="2"/>
  <c r="C187" i="2"/>
  <c r="D187" i="2"/>
  <c r="E187" i="2"/>
  <c r="F187" i="2"/>
  <c r="G187" i="2"/>
  <c r="H187" i="2"/>
  <c r="A188" i="2"/>
  <c r="B188" i="2"/>
  <c r="C188" i="2"/>
  <c r="D188" i="2"/>
  <c r="E188" i="2"/>
  <c r="F188" i="2"/>
  <c r="G188" i="2"/>
  <c r="H188" i="2"/>
  <c r="A189" i="2"/>
  <c r="B189" i="2"/>
  <c r="C189" i="2"/>
  <c r="D189" i="2"/>
  <c r="E189" i="2"/>
  <c r="F189" i="2"/>
  <c r="G189" i="2"/>
  <c r="H189" i="2"/>
  <c r="A190" i="2"/>
  <c r="B190" i="2"/>
  <c r="C190" i="2"/>
  <c r="D190" i="2"/>
  <c r="E190" i="2"/>
  <c r="F190" i="2"/>
  <c r="G190" i="2"/>
  <c r="H190" i="2"/>
  <c r="A191" i="2"/>
  <c r="B191" i="2"/>
  <c r="C191" i="2"/>
  <c r="D191" i="2"/>
  <c r="E191" i="2"/>
  <c r="F191" i="2"/>
  <c r="G191" i="2"/>
  <c r="H191" i="2"/>
  <c r="A192" i="2"/>
  <c r="B192" i="2"/>
  <c r="C192" i="2"/>
  <c r="D192" i="2"/>
  <c r="E192" i="2"/>
  <c r="F192" i="2"/>
  <c r="G192" i="2"/>
  <c r="H192" i="2"/>
  <c r="A193" i="2"/>
  <c r="B193" i="2"/>
  <c r="C193" i="2"/>
  <c r="D193" i="2"/>
  <c r="E193" i="2"/>
  <c r="F193" i="2"/>
  <c r="G193" i="2"/>
  <c r="H193" i="2"/>
  <c r="A194" i="2"/>
  <c r="B194" i="2"/>
  <c r="C194" i="2"/>
  <c r="D194" i="2"/>
  <c r="E194" i="2"/>
  <c r="F194" i="2"/>
  <c r="G194" i="2"/>
  <c r="H194" i="2"/>
  <c r="A195" i="2"/>
  <c r="B195" i="2"/>
  <c r="C195" i="2"/>
  <c r="D195" i="2"/>
  <c r="E195" i="2"/>
  <c r="F195" i="2"/>
  <c r="G195" i="2"/>
  <c r="H195" i="2"/>
  <c r="A196" i="2"/>
  <c r="B196" i="2"/>
  <c r="C196" i="2"/>
  <c r="D196" i="2"/>
  <c r="E196" i="2"/>
  <c r="F196" i="2"/>
  <c r="G196" i="2"/>
  <c r="H196" i="2"/>
  <c r="A197" i="2"/>
  <c r="B197" i="2"/>
  <c r="C197" i="2"/>
  <c r="D197" i="2"/>
  <c r="E197" i="2"/>
  <c r="F197" i="2"/>
  <c r="G197" i="2"/>
  <c r="H197" i="2"/>
  <c r="A198" i="2"/>
  <c r="B198" i="2"/>
  <c r="C198" i="2"/>
  <c r="D198" i="2"/>
  <c r="E198" i="2"/>
  <c r="F198" i="2"/>
  <c r="G198" i="2"/>
  <c r="H198" i="2"/>
  <c r="A199" i="2"/>
  <c r="B199" i="2"/>
  <c r="C199" i="2"/>
  <c r="D199" i="2"/>
  <c r="E199" i="2"/>
  <c r="F199" i="2"/>
  <c r="G199" i="2"/>
  <c r="H199" i="2"/>
  <c r="A200" i="2"/>
  <c r="B200" i="2"/>
  <c r="C200" i="2"/>
  <c r="D200" i="2"/>
  <c r="E200" i="2"/>
  <c r="F200" i="2"/>
  <c r="G200" i="2"/>
  <c r="H200" i="2"/>
  <c r="A201" i="2"/>
  <c r="B201" i="2"/>
  <c r="C201" i="2"/>
  <c r="D201" i="2"/>
  <c r="E201" i="2"/>
  <c r="F201" i="2"/>
  <c r="G201" i="2"/>
  <c r="H201" i="2"/>
  <c r="A202" i="2"/>
  <c r="B202" i="2"/>
  <c r="C202" i="2"/>
  <c r="D202" i="2"/>
  <c r="E202" i="2"/>
  <c r="F202" i="2"/>
  <c r="G202" i="2"/>
  <c r="H202" i="2"/>
  <c r="A203" i="2"/>
  <c r="B203" i="2"/>
  <c r="C203" i="2"/>
  <c r="D203" i="2"/>
  <c r="E203" i="2"/>
  <c r="F203" i="2"/>
  <c r="G203" i="2"/>
  <c r="H203" i="2"/>
  <c r="A204" i="2"/>
  <c r="B204" i="2"/>
  <c r="C204" i="2"/>
  <c r="D204" i="2"/>
  <c r="E204" i="2"/>
  <c r="F204" i="2"/>
  <c r="G204" i="2"/>
  <c r="H204" i="2"/>
  <c r="A205" i="2"/>
  <c r="B205" i="2"/>
  <c r="C205" i="2"/>
  <c r="D205" i="2"/>
  <c r="E205" i="2"/>
  <c r="F205" i="2"/>
  <c r="G205" i="2"/>
  <c r="H205" i="2"/>
  <c r="A206" i="2"/>
  <c r="B206" i="2"/>
  <c r="C206" i="2"/>
  <c r="D206" i="2"/>
  <c r="E206" i="2"/>
  <c r="F206" i="2"/>
  <c r="G206" i="2"/>
  <c r="H206" i="2"/>
  <c r="A207" i="2"/>
  <c r="B207" i="2"/>
  <c r="C207" i="2"/>
  <c r="D207" i="2"/>
  <c r="E207" i="2"/>
  <c r="F207" i="2"/>
  <c r="G207" i="2"/>
  <c r="H207" i="2"/>
  <c r="A208" i="2"/>
  <c r="B208" i="2"/>
  <c r="C208" i="2"/>
  <c r="D208" i="2"/>
  <c r="E208" i="2"/>
  <c r="F208" i="2"/>
  <c r="G208" i="2"/>
  <c r="H208" i="2"/>
  <c r="A209" i="2"/>
  <c r="B209" i="2"/>
  <c r="C209" i="2"/>
  <c r="D209" i="2"/>
  <c r="E209" i="2"/>
  <c r="F209" i="2"/>
  <c r="G209" i="2"/>
  <c r="H209" i="2"/>
  <c r="A210" i="2"/>
  <c r="B210" i="2"/>
  <c r="C210" i="2"/>
  <c r="D210" i="2"/>
  <c r="E210" i="2"/>
  <c r="F210" i="2"/>
  <c r="G210" i="2"/>
  <c r="H210" i="2"/>
  <c r="A211" i="2"/>
  <c r="B211" i="2"/>
  <c r="C211" i="2"/>
  <c r="D211" i="2"/>
  <c r="E211" i="2"/>
  <c r="F211" i="2"/>
  <c r="G211" i="2"/>
  <c r="H211" i="2"/>
  <c r="A212" i="2"/>
  <c r="B212" i="2"/>
  <c r="C212" i="2"/>
  <c r="D212" i="2"/>
  <c r="E212" i="2"/>
  <c r="F212" i="2"/>
  <c r="G212" i="2"/>
  <c r="H212" i="2"/>
  <c r="A213" i="2"/>
  <c r="B213" i="2"/>
  <c r="C213" i="2"/>
  <c r="D213" i="2"/>
  <c r="E213" i="2"/>
  <c r="F213" i="2"/>
  <c r="G213" i="2"/>
  <c r="H213" i="2"/>
  <c r="A214" i="2"/>
  <c r="B214" i="2"/>
  <c r="C214" i="2"/>
  <c r="D214" i="2"/>
  <c r="E214" i="2"/>
  <c r="F214" i="2"/>
  <c r="G214" i="2"/>
  <c r="H214" i="2"/>
  <c r="A215" i="2"/>
  <c r="B215" i="2"/>
  <c r="C215" i="2"/>
  <c r="D215" i="2"/>
  <c r="E215" i="2"/>
  <c r="F215" i="2"/>
  <c r="G215" i="2"/>
  <c r="H215" i="2"/>
  <c r="A216" i="2"/>
  <c r="B216" i="2"/>
  <c r="C216" i="2"/>
  <c r="D216" i="2"/>
  <c r="E216" i="2"/>
  <c r="F216" i="2"/>
  <c r="G216" i="2"/>
  <c r="H216" i="2"/>
  <c r="A217" i="2"/>
  <c r="B217" i="2"/>
  <c r="C217" i="2"/>
  <c r="D217" i="2"/>
  <c r="E217" i="2"/>
  <c r="F217" i="2"/>
  <c r="G217" i="2"/>
  <c r="H217" i="2"/>
  <c r="A218" i="2"/>
  <c r="B218" i="2"/>
  <c r="C218" i="2"/>
  <c r="D218" i="2"/>
  <c r="E218" i="2"/>
  <c r="F218" i="2"/>
  <c r="G218" i="2"/>
  <c r="H218" i="2"/>
  <c r="A219" i="2"/>
  <c r="B219" i="2"/>
  <c r="C219" i="2"/>
  <c r="D219" i="2"/>
  <c r="E219" i="2"/>
  <c r="F219" i="2"/>
  <c r="G219" i="2"/>
  <c r="H219" i="2"/>
  <c r="A220" i="2"/>
  <c r="B220" i="2"/>
  <c r="C220" i="2"/>
  <c r="D220" i="2"/>
  <c r="E220" i="2"/>
  <c r="F220" i="2"/>
  <c r="G220" i="2"/>
  <c r="H220" i="2"/>
  <c r="A221" i="2"/>
  <c r="B221" i="2"/>
  <c r="C221" i="2"/>
  <c r="D221" i="2"/>
  <c r="E221" i="2"/>
  <c r="F221" i="2"/>
  <c r="G221" i="2"/>
  <c r="H221" i="2"/>
  <c r="A222" i="2"/>
  <c r="B222" i="2"/>
  <c r="C222" i="2"/>
  <c r="D222" i="2"/>
  <c r="E222" i="2"/>
  <c r="F222" i="2"/>
  <c r="G222" i="2"/>
  <c r="H222" i="2"/>
  <c r="A223" i="2"/>
  <c r="B223" i="2"/>
  <c r="C223" i="2"/>
  <c r="D223" i="2"/>
  <c r="E223" i="2"/>
  <c r="F223" i="2"/>
  <c r="G223" i="2"/>
  <c r="H223" i="2"/>
  <c r="A224" i="2"/>
  <c r="B224" i="2"/>
  <c r="C224" i="2"/>
  <c r="D224" i="2"/>
  <c r="E224" i="2"/>
  <c r="F224" i="2"/>
  <c r="G224" i="2"/>
  <c r="H224" i="2"/>
  <c r="A225" i="2"/>
  <c r="B225" i="2"/>
  <c r="C225" i="2"/>
  <c r="D225" i="2"/>
  <c r="E225" i="2"/>
  <c r="F225" i="2"/>
  <c r="G225" i="2"/>
  <c r="H225" i="2"/>
  <c r="A226" i="2"/>
  <c r="B226" i="2"/>
  <c r="C226" i="2"/>
  <c r="D226" i="2"/>
  <c r="E226" i="2"/>
  <c r="F226" i="2"/>
  <c r="G226" i="2"/>
  <c r="H226" i="2"/>
  <c r="A227" i="2"/>
  <c r="B227" i="2"/>
  <c r="C227" i="2"/>
  <c r="D227" i="2"/>
  <c r="E227" i="2"/>
  <c r="F227" i="2"/>
  <c r="G227" i="2"/>
  <c r="H227" i="2"/>
  <c r="A228" i="2"/>
  <c r="B228" i="2"/>
  <c r="C228" i="2"/>
  <c r="D228" i="2"/>
  <c r="E228" i="2"/>
  <c r="F228" i="2"/>
  <c r="G228" i="2"/>
  <c r="H228" i="2"/>
  <c r="A229" i="2"/>
  <c r="B229" i="2"/>
  <c r="C229" i="2"/>
  <c r="D229" i="2"/>
  <c r="E229" i="2"/>
  <c r="F229" i="2"/>
  <c r="G229" i="2"/>
  <c r="H229" i="2"/>
  <c r="A230" i="2"/>
  <c r="B230" i="2"/>
  <c r="C230" i="2"/>
  <c r="D230" i="2"/>
  <c r="E230" i="2"/>
  <c r="F230" i="2"/>
  <c r="G230" i="2"/>
  <c r="H230" i="2"/>
  <c r="A231" i="2"/>
  <c r="B231" i="2"/>
  <c r="C231" i="2"/>
  <c r="D231" i="2"/>
  <c r="E231" i="2"/>
  <c r="F231" i="2"/>
  <c r="G231" i="2"/>
  <c r="H231" i="2"/>
  <c r="A232" i="2"/>
  <c r="B232" i="2"/>
  <c r="C232" i="2"/>
  <c r="D232" i="2"/>
  <c r="E232" i="2"/>
  <c r="F232" i="2"/>
  <c r="G232" i="2"/>
  <c r="H232" i="2"/>
  <c r="A233" i="2"/>
  <c r="B233" i="2"/>
  <c r="C233" i="2"/>
  <c r="D233" i="2"/>
  <c r="E233" i="2"/>
  <c r="F233" i="2"/>
  <c r="G233" i="2"/>
  <c r="H233" i="2"/>
  <c r="A234" i="2"/>
  <c r="B234" i="2"/>
  <c r="C234" i="2"/>
  <c r="D234" i="2"/>
  <c r="E234" i="2"/>
  <c r="F234" i="2"/>
  <c r="G234" i="2"/>
  <c r="H234" i="2"/>
  <c r="A235" i="2"/>
  <c r="B235" i="2"/>
  <c r="C235" i="2"/>
  <c r="D235" i="2"/>
  <c r="E235" i="2"/>
  <c r="F235" i="2"/>
  <c r="G235" i="2"/>
  <c r="H235" i="2"/>
  <c r="A236" i="2"/>
  <c r="B236" i="2"/>
  <c r="C236" i="2"/>
  <c r="D236" i="2"/>
  <c r="E236" i="2"/>
  <c r="F236" i="2"/>
  <c r="G236" i="2"/>
  <c r="H236" i="2"/>
  <c r="A237" i="2"/>
  <c r="B237" i="2"/>
  <c r="C237" i="2"/>
  <c r="D237" i="2"/>
  <c r="E237" i="2"/>
  <c r="F237" i="2"/>
  <c r="G237" i="2"/>
  <c r="H237" i="2"/>
  <c r="A238" i="2"/>
  <c r="B238" i="2"/>
  <c r="C238" i="2"/>
  <c r="D238" i="2"/>
  <c r="E238" i="2"/>
  <c r="F238" i="2"/>
  <c r="G238" i="2"/>
  <c r="H238" i="2"/>
  <c r="A239" i="2"/>
  <c r="B239" i="2"/>
  <c r="C239" i="2"/>
  <c r="D239" i="2"/>
  <c r="E239" i="2"/>
  <c r="F239" i="2"/>
  <c r="G239" i="2"/>
  <c r="H239" i="2"/>
  <c r="A240" i="2"/>
  <c r="B240" i="2"/>
  <c r="C240" i="2"/>
  <c r="D240" i="2"/>
  <c r="E240" i="2"/>
  <c r="F240" i="2"/>
  <c r="G240" i="2"/>
  <c r="H240" i="2"/>
  <c r="A241" i="2"/>
  <c r="B241" i="2"/>
  <c r="C241" i="2"/>
  <c r="D241" i="2"/>
  <c r="E241" i="2"/>
  <c r="F241" i="2"/>
  <c r="G241" i="2"/>
  <c r="H241" i="2"/>
  <c r="A242" i="2"/>
  <c r="B242" i="2"/>
  <c r="C242" i="2"/>
  <c r="D242" i="2"/>
  <c r="E242" i="2"/>
  <c r="F242" i="2"/>
  <c r="G242" i="2"/>
  <c r="H242" i="2"/>
  <c r="A243" i="2"/>
  <c r="B243" i="2"/>
  <c r="C243" i="2"/>
  <c r="D243" i="2"/>
  <c r="E243" i="2"/>
  <c r="F243" i="2"/>
  <c r="G243" i="2"/>
  <c r="H243" i="2"/>
  <c r="A244" i="2"/>
  <c r="B244" i="2"/>
  <c r="C244" i="2"/>
  <c r="D244" i="2"/>
  <c r="E244" i="2"/>
  <c r="F244" i="2"/>
  <c r="G244" i="2"/>
  <c r="H244" i="2"/>
  <c r="A245" i="2"/>
  <c r="B245" i="2"/>
  <c r="C245" i="2"/>
  <c r="D245" i="2"/>
  <c r="E245" i="2"/>
  <c r="F245" i="2"/>
  <c r="G245" i="2"/>
  <c r="H245" i="2"/>
  <c r="A246" i="2"/>
  <c r="B246" i="2"/>
  <c r="C246" i="2"/>
  <c r="D246" i="2"/>
  <c r="E246" i="2"/>
  <c r="F246" i="2"/>
  <c r="G246" i="2"/>
  <c r="H246" i="2"/>
  <c r="A247" i="2"/>
  <c r="B247" i="2"/>
  <c r="C247" i="2"/>
  <c r="D247" i="2"/>
  <c r="E247" i="2"/>
  <c r="F247" i="2"/>
  <c r="G247" i="2"/>
  <c r="H247" i="2"/>
  <c r="A248" i="2"/>
  <c r="B248" i="2"/>
  <c r="C248" i="2"/>
  <c r="D248" i="2"/>
  <c r="E248" i="2"/>
  <c r="F248" i="2"/>
  <c r="G248" i="2"/>
  <c r="H248" i="2"/>
  <c r="A249" i="2"/>
  <c r="B249" i="2"/>
  <c r="C249" i="2"/>
  <c r="D249" i="2"/>
  <c r="E249" i="2"/>
  <c r="F249" i="2"/>
  <c r="G249" i="2"/>
  <c r="H249" i="2"/>
  <c r="A250" i="2"/>
  <c r="B250" i="2"/>
  <c r="C250" i="2"/>
  <c r="D250" i="2"/>
  <c r="E250" i="2"/>
  <c r="F250" i="2"/>
  <c r="G250" i="2"/>
  <c r="H250" i="2"/>
  <c r="A251" i="2"/>
  <c r="B251" i="2"/>
  <c r="C251" i="2"/>
  <c r="D251" i="2"/>
  <c r="E251" i="2"/>
  <c r="F251" i="2"/>
  <c r="G251" i="2"/>
  <c r="H251" i="2"/>
  <c r="A252" i="2"/>
  <c r="B252" i="2"/>
  <c r="C252" i="2"/>
  <c r="D252" i="2"/>
  <c r="E252" i="2"/>
  <c r="F252" i="2"/>
  <c r="G252" i="2"/>
  <c r="H252" i="2"/>
  <c r="A253" i="2"/>
  <c r="B253" i="2"/>
  <c r="C253" i="2"/>
  <c r="D253" i="2"/>
  <c r="E253" i="2"/>
  <c r="F253" i="2"/>
  <c r="G253" i="2"/>
  <c r="H253" i="2"/>
  <c r="A254" i="2"/>
  <c r="B254" i="2"/>
  <c r="C254" i="2"/>
  <c r="D254" i="2"/>
  <c r="E254" i="2"/>
  <c r="F254" i="2"/>
  <c r="G254" i="2"/>
  <c r="H254" i="2"/>
  <c r="A255" i="2"/>
  <c r="B255" i="2"/>
  <c r="C255" i="2"/>
  <c r="D255" i="2"/>
  <c r="E255" i="2"/>
  <c r="F255" i="2"/>
  <c r="G255" i="2"/>
  <c r="H255" i="2"/>
  <c r="A256" i="2"/>
  <c r="B256" i="2"/>
  <c r="C256" i="2"/>
  <c r="D256" i="2"/>
  <c r="E256" i="2"/>
  <c r="F256" i="2"/>
  <c r="G256" i="2"/>
  <c r="H256" i="2"/>
  <c r="A257" i="2"/>
  <c r="B257" i="2"/>
  <c r="C257" i="2"/>
  <c r="D257" i="2"/>
  <c r="E257" i="2"/>
  <c r="F257" i="2"/>
  <c r="G257" i="2"/>
  <c r="H257" i="2"/>
  <c r="A258" i="2"/>
  <c r="B258" i="2"/>
  <c r="C258" i="2"/>
  <c r="D258" i="2"/>
  <c r="E258" i="2"/>
  <c r="F258" i="2"/>
  <c r="G258" i="2"/>
  <c r="H258" i="2"/>
  <c r="A259" i="2"/>
  <c r="B259" i="2"/>
  <c r="C259" i="2"/>
  <c r="D259" i="2"/>
  <c r="E259" i="2"/>
  <c r="F259" i="2"/>
  <c r="G259" i="2"/>
  <c r="H259" i="2"/>
  <c r="A260" i="2"/>
  <c r="B260" i="2"/>
  <c r="C260" i="2"/>
  <c r="D260" i="2"/>
  <c r="E260" i="2"/>
  <c r="F260" i="2"/>
  <c r="G260" i="2"/>
  <c r="H260" i="2"/>
  <c r="A261" i="2"/>
  <c r="B261" i="2"/>
  <c r="C261" i="2"/>
  <c r="D261" i="2"/>
  <c r="E261" i="2"/>
  <c r="F261" i="2"/>
  <c r="G261" i="2"/>
  <c r="H261" i="2"/>
  <c r="A262" i="2"/>
  <c r="B262" i="2"/>
  <c r="C262" i="2"/>
  <c r="D262" i="2"/>
  <c r="E262" i="2"/>
  <c r="F262" i="2"/>
  <c r="G262" i="2"/>
  <c r="H262" i="2"/>
  <c r="A263" i="2"/>
  <c r="B263" i="2"/>
  <c r="C263" i="2"/>
  <c r="D263" i="2"/>
  <c r="E263" i="2"/>
  <c r="F263" i="2"/>
  <c r="G263" i="2"/>
  <c r="H263" i="2"/>
  <c r="A264" i="2"/>
  <c r="B264" i="2"/>
  <c r="C264" i="2"/>
  <c r="D264" i="2"/>
  <c r="E264" i="2"/>
  <c r="F264" i="2"/>
  <c r="G264" i="2"/>
  <c r="H264" i="2"/>
  <c r="A265" i="2"/>
  <c r="B265" i="2"/>
  <c r="C265" i="2"/>
  <c r="D265" i="2"/>
  <c r="E265" i="2"/>
  <c r="F265" i="2"/>
  <c r="G265" i="2"/>
  <c r="H265" i="2"/>
  <c r="A266" i="2"/>
  <c r="B266" i="2"/>
  <c r="C266" i="2"/>
  <c r="D266" i="2"/>
  <c r="E266" i="2"/>
  <c r="F266" i="2"/>
  <c r="G266" i="2"/>
  <c r="H266" i="2"/>
  <c r="A267" i="2"/>
  <c r="B267" i="2"/>
  <c r="C267" i="2"/>
  <c r="D267" i="2"/>
  <c r="E267" i="2"/>
  <c r="F267" i="2"/>
  <c r="G267" i="2"/>
  <c r="H267" i="2"/>
  <c r="A268" i="2"/>
  <c r="B268" i="2"/>
  <c r="C268" i="2"/>
  <c r="D268" i="2"/>
  <c r="E268" i="2"/>
  <c r="F268" i="2"/>
  <c r="G268" i="2"/>
  <c r="H268" i="2"/>
  <c r="A269" i="2"/>
  <c r="B269" i="2"/>
  <c r="C269" i="2"/>
  <c r="D269" i="2"/>
  <c r="E269" i="2"/>
  <c r="F269" i="2"/>
  <c r="G269" i="2"/>
  <c r="H269" i="2"/>
  <c r="A270" i="2"/>
  <c r="B270" i="2"/>
  <c r="C270" i="2"/>
  <c r="D270" i="2"/>
  <c r="E270" i="2"/>
  <c r="F270" i="2"/>
  <c r="G270" i="2"/>
  <c r="H270" i="2"/>
  <c r="A271" i="2"/>
  <c r="B271" i="2"/>
  <c r="C271" i="2"/>
  <c r="D271" i="2"/>
  <c r="E271" i="2"/>
  <c r="F271" i="2"/>
  <c r="G271" i="2"/>
  <c r="H271" i="2"/>
  <c r="A272" i="2"/>
  <c r="B272" i="2"/>
  <c r="C272" i="2"/>
  <c r="D272" i="2"/>
  <c r="E272" i="2"/>
  <c r="F272" i="2"/>
  <c r="G272" i="2"/>
  <c r="H272" i="2"/>
  <c r="A273" i="2"/>
  <c r="B273" i="2"/>
  <c r="C273" i="2"/>
  <c r="D273" i="2"/>
  <c r="E273" i="2"/>
  <c r="F273" i="2"/>
  <c r="G273" i="2"/>
  <c r="H273" i="2"/>
  <c r="A274" i="2"/>
  <c r="B274" i="2"/>
  <c r="C274" i="2"/>
  <c r="D274" i="2"/>
  <c r="E274" i="2"/>
  <c r="F274" i="2"/>
  <c r="G274" i="2"/>
  <c r="H274" i="2"/>
  <c r="A275" i="2"/>
  <c r="B275" i="2"/>
  <c r="C275" i="2"/>
  <c r="D275" i="2"/>
  <c r="E275" i="2"/>
  <c r="F275" i="2"/>
  <c r="G275" i="2"/>
  <c r="H275" i="2"/>
  <c r="A276" i="2"/>
  <c r="B276" i="2"/>
  <c r="C276" i="2"/>
  <c r="D276" i="2"/>
  <c r="E276" i="2"/>
  <c r="F276" i="2"/>
  <c r="G276" i="2"/>
  <c r="H276" i="2"/>
  <c r="A277" i="2"/>
  <c r="B277" i="2"/>
  <c r="C277" i="2"/>
  <c r="D277" i="2"/>
  <c r="E277" i="2"/>
  <c r="F277" i="2"/>
  <c r="G277" i="2"/>
  <c r="H277" i="2"/>
  <c r="A278" i="2"/>
  <c r="B278" i="2"/>
  <c r="C278" i="2"/>
  <c r="D278" i="2"/>
  <c r="E278" i="2"/>
  <c r="F278" i="2"/>
  <c r="G278" i="2"/>
  <c r="H278" i="2"/>
  <c r="A279" i="2"/>
  <c r="B279" i="2"/>
  <c r="C279" i="2"/>
  <c r="D279" i="2"/>
  <c r="E279" i="2"/>
  <c r="F279" i="2"/>
  <c r="G279" i="2"/>
  <c r="H279" i="2"/>
  <c r="A280" i="2"/>
  <c r="B280" i="2"/>
  <c r="C280" i="2"/>
  <c r="D280" i="2"/>
  <c r="E280" i="2"/>
  <c r="F280" i="2"/>
  <c r="G280" i="2"/>
  <c r="H280" i="2"/>
  <c r="A281" i="2"/>
  <c r="B281" i="2"/>
  <c r="C281" i="2"/>
  <c r="D281" i="2"/>
  <c r="E281" i="2"/>
  <c r="F281" i="2"/>
  <c r="G281" i="2"/>
  <c r="H281" i="2"/>
  <c r="A282" i="2"/>
  <c r="B282" i="2"/>
  <c r="C282" i="2"/>
  <c r="D282" i="2"/>
  <c r="E282" i="2"/>
  <c r="F282" i="2"/>
  <c r="G282" i="2"/>
  <c r="H282" i="2"/>
  <c r="A283" i="2"/>
  <c r="B283" i="2"/>
  <c r="C283" i="2"/>
  <c r="D283" i="2"/>
  <c r="E283" i="2"/>
  <c r="F283" i="2"/>
  <c r="G283" i="2"/>
  <c r="H283" i="2"/>
  <c r="A284" i="2"/>
  <c r="B284" i="2"/>
  <c r="C284" i="2"/>
  <c r="D284" i="2"/>
  <c r="E284" i="2"/>
  <c r="F284" i="2"/>
  <c r="G284" i="2"/>
  <c r="H284" i="2"/>
  <c r="A285" i="2"/>
  <c r="B285" i="2"/>
  <c r="C285" i="2"/>
  <c r="D285" i="2"/>
  <c r="E285" i="2"/>
  <c r="F285" i="2"/>
  <c r="G285" i="2"/>
  <c r="H285" i="2"/>
  <c r="A286" i="2"/>
  <c r="B286" i="2"/>
  <c r="C286" i="2"/>
  <c r="D286" i="2"/>
  <c r="E286" i="2"/>
  <c r="F286" i="2"/>
  <c r="G286" i="2"/>
  <c r="H286" i="2"/>
  <c r="A287" i="2"/>
  <c r="B287" i="2"/>
  <c r="C287" i="2"/>
  <c r="D287" i="2"/>
  <c r="E287" i="2"/>
  <c r="F287" i="2"/>
  <c r="G287" i="2"/>
  <c r="H287" i="2"/>
  <c r="A288" i="2"/>
  <c r="B288" i="2"/>
  <c r="C288" i="2"/>
  <c r="D288" i="2"/>
  <c r="E288" i="2"/>
  <c r="F288" i="2"/>
  <c r="G288" i="2"/>
  <c r="H288" i="2"/>
  <c r="A289" i="2"/>
  <c r="B289" i="2"/>
  <c r="C289" i="2"/>
  <c r="D289" i="2"/>
  <c r="E289" i="2"/>
  <c r="F289" i="2"/>
  <c r="G289" i="2"/>
  <c r="H289" i="2"/>
  <c r="A290" i="2"/>
  <c r="B290" i="2"/>
  <c r="C290" i="2"/>
  <c r="D290" i="2"/>
  <c r="E290" i="2"/>
  <c r="F290" i="2"/>
  <c r="G290" i="2"/>
  <c r="H290" i="2"/>
  <c r="A291" i="2"/>
  <c r="B291" i="2"/>
  <c r="C291" i="2"/>
  <c r="D291" i="2"/>
  <c r="E291" i="2"/>
  <c r="F291" i="2"/>
  <c r="G291" i="2"/>
  <c r="H291" i="2"/>
  <c r="A292" i="2"/>
  <c r="B292" i="2"/>
  <c r="C292" i="2"/>
  <c r="D292" i="2"/>
  <c r="E292" i="2"/>
  <c r="F292" i="2"/>
  <c r="G292" i="2"/>
  <c r="H292" i="2"/>
  <c r="A293" i="2"/>
  <c r="B293" i="2"/>
  <c r="C293" i="2"/>
  <c r="D293" i="2"/>
  <c r="E293" i="2"/>
  <c r="F293" i="2"/>
  <c r="G293" i="2"/>
  <c r="H293" i="2"/>
  <c r="A294" i="2"/>
  <c r="B294" i="2"/>
  <c r="C294" i="2"/>
  <c r="D294" i="2"/>
  <c r="E294" i="2"/>
  <c r="F294" i="2"/>
  <c r="G294" i="2"/>
  <c r="H294" i="2"/>
  <c r="A295" i="2"/>
  <c r="B295" i="2"/>
  <c r="C295" i="2"/>
  <c r="D295" i="2"/>
  <c r="E295" i="2"/>
  <c r="F295" i="2"/>
  <c r="G295" i="2"/>
  <c r="H295" i="2"/>
  <c r="A296" i="2"/>
  <c r="B296" i="2"/>
  <c r="C296" i="2"/>
  <c r="D296" i="2"/>
  <c r="E296" i="2"/>
  <c r="F296" i="2"/>
  <c r="G296" i="2"/>
  <c r="H296" i="2"/>
  <c r="A297" i="2"/>
  <c r="B297" i="2"/>
  <c r="C297" i="2"/>
  <c r="D297" i="2"/>
  <c r="E297" i="2"/>
  <c r="F297" i="2"/>
  <c r="G297" i="2"/>
  <c r="H297" i="2"/>
  <c r="A298" i="2"/>
  <c r="B298" i="2"/>
  <c r="C298" i="2"/>
  <c r="D298" i="2"/>
  <c r="E298" i="2"/>
  <c r="F298" i="2"/>
  <c r="G298" i="2"/>
  <c r="H298" i="2"/>
  <c r="A299" i="2"/>
  <c r="B299" i="2"/>
  <c r="C299" i="2"/>
  <c r="D299" i="2"/>
  <c r="E299" i="2"/>
  <c r="F299" i="2"/>
  <c r="G299" i="2"/>
  <c r="H299" i="2"/>
  <c r="A300" i="2"/>
  <c r="B300" i="2"/>
  <c r="C300" i="2"/>
  <c r="D300" i="2"/>
  <c r="E300" i="2"/>
  <c r="F300" i="2"/>
  <c r="G300" i="2"/>
  <c r="H300" i="2"/>
  <c r="A301" i="2"/>
  <c r="B301" i="2"/>
  <c r="C301" i="2"/>
  <c r="D301" i="2"/>
  <c r="E301" i="2"/>
  <c r="F301" i="2"/>
  <c r="G301" i="2"/>
  <c r="H301" i="2"/>
  <c r="A302" i="2"/>
  <c r="B302" i="2"/>
  <c r="C302" i="2"/>
  <c r="D302" i="2"/>
  <c r="E302" i="2"/>
  <c r="F302" i="2"/>
  <c r="G302" i="2"/>
  <c r="H302" i="2"/>
  <c r="A303" i="2"/>
  <c r="B303" i="2"/>
  <c r="C303" i="2"/>
  <c r="D303" i="2"/>
  <c r="E303" i="2"/>
  <c r="F303" i="2"/>
  <c r="G303" i="2"/>
  <c r="H303" i="2"/>
  <c r="A304" i="2"/>
  <c r="B304" i="2"/>
  <c r="C304" i="2"/>
  <c r="D304" i="2"/>
  <c r="E304" i="2"/>
  <c r="F304" i="2"/>
  <c r="G304" i="2"/>
  <c r="H304" i="2"/>
  <c r="A305" i="2"/>
  <c r="B305" i="2"/>
  <c r="C305" i="2"/>
  <c r="D305" i="2"/>
  <c r="E305" i="2"/>
  <c r="F305" i="2"/>
  <c r="G305" i="2"/>
  <c r="H305" i="2"/>
  <c r="A306" i="2"/>
  <c r="B306" i="2"/>
  <c r="C306" i="2"/>
  <c r="D306" i="2"/>
  <c r="E306" i="2"/>
  <c r="F306" i="2"/>
  <c r="G306" i="2"/>
  <c r="H306" i="2"/>
  <c r="A307" i="2"/>
  <c r="B307" i="2"/>
  <c r="C307" i="2"/>
  <c r="D307" i="2"/>
  <c r="E307" i="2"/>
  <c r="F307" i="2"/>
  <c r="G307" i="2"/>
  <c r="H307" i="2"/>
  <c r="A308" i="2"/>
  <c r="B308" i="2"/>
  <c r="C308" i="2"/>
  <c r="D308" i="2"/>
  <c r="E308" i="2"/>
  <c r="F308" i="2"/>
  <c r="G308" i="2"/>
  <c r="H308" i="2"/>
  <c r="A309" i="2"/>
  <c r="B309" i="2"/>
  <c r="C309" i="2"/>
  <c r="D309" i="2"/>
  <c r="E309" i="2"/>
  <c r="F309" i="2"/>
  <c r="G309" i="2"/>
  <c r="H309" i="2"/>
  <c r="A310" i="2"/>
  <c r="B310" i="2"/>
  <c r="C310" i="2"/>
  <c r="D310" i="2"/>
  <c r="E310" i="2"/>
  <c r="F310" i="2"/>
  <c r="G310" i="2"/>
  <c r="H310" i="2"/>
  <c r="A311" i="2"/>
  <c r="B311" i="2"/>
  <c r="C311" i="2"/>
  <c r="D311" i="2"/>
  <c r="E311" i="2"/>
  <c r="F311" i="2"/>
  <c r="G311" i="2"/>
  <c r="H311" i="2"/>
  <c r="A312" i="2"/>
  <c r="B312" i="2"/>
  <c r="C312" i="2"/>
  <c r="D312" i="2"/>
  <c r="E312" i="2"/>
  <c r="F312" i="2"/>
  <c r="G312" i="2"/>
  <c r="H312" i="2"/>
  <c r="A313" i="2"/>
  <c r="B313" i="2"/>
  <c r="C313" i="2"/>
  <c r="D313" i="2"/>
  <c r="E313" i="2"/>
  <c r="F313" i="2"/>
  <c r="G313" i="2"/>
  <c r="H313" i="2"/>
  <c r="A314" i="2"/>
  <c r="B314" i="2"/>
  <c r="C314" i="2"/>
  <c r="D314" i="2"/>
  <c r="E314" i="2"/>
  <c r="F314" i="2"/>
  <c r="G314" i="2"/>
  <c r="H314" i="2"/>
  <c r="A315" i="2"/>
  <c r="B315" i="2"/>
  <c r="C315" i="2"/>
  <c r="D315" i="2"/>
  <c r="E315" i="2"/>
  <c r="F315" i="2"/>
  <c r="G315" i="2"/>
  <c r="H315" i="2"/>
  <c r="A316" i="2"/>
  <c r="B316" i="2"/>
  <c r="C316" i="2"/>
  <c r="D316" i="2"/>
  <c r="E316" i="2"/>
  <c r="F316" i="2"/>
  <c r="G316" i="2"/>
  <c r="H316" i="2"/>
  <c r="A317" i="2"/>
  <c r="B317" i="2"/>
  <c r="C317" i="2"/>
  <c r="D317" i="2"/>
  <c r="E317" i="2"/>
  <c r="F317" i="2"/>
  <c r="G317" i="2"/>
  <c r="H317" i="2"/>
  <c r="A318" i="2"/>
  <c r="B318" i="2"/>
  <c r="C318" i="2"/>
  <c r="D318" i="2"/>
  <c r="E318" i="2"/>
  <c r="F318" i="2"/>
  <c r="G318" i="2"/>
  <c r="H318" i="2"/>
  <c r="A2" i="2"/>
  <c r="B2" i="2"/>
  <c r="C2" i="2"/>
  <c r="D2" i="2"/>
  <c r="E2" i="2"/>
  <c r="F2" i="2"/>
  <c r="G2" i="2"/>
  <c r="H2" i="2"/>
  <c r="A3" i="2"/>
  <c r="B3" i="2"/>
  <c r="C3" i="2"/>
  <c r="D3" i="2"/>
  <c r="E3" i="2"/>
  <c r="F3" i="2"/>
  <c r="G3" i="2"/>
  <c r="H3" i="2"/>
  <c r="A4" i="2"/>
  <c r="B4" i="2"/>
  <c r="C4" i="2"/>
  <c r="D4" i="2"/>
  <c r="E4" i="2"/>
  <c r="F4" i="2"/>
  <c r="G4" i="2"/>
  <c r="H4" i="2"/>
  <c r="A5" i="2"/>
  <c r="B5" i="2"/>
  <c r="C5" i="2"/>
  <c r="D5" i="2"/>
  <c r="E5" i="2"/>
  <c r="F5" i="2"/>
  <c r="G5" i="2"/>
  <c r="H5" i="2"/>
  <c r="A6" i="2"/>
  <c r="B6" i="2"/>
  <c r="C6" i="2"/>
  <c r="D6" i="2"/>
  <c r="E6" i="2"/>
  <c r="F6" i="2"/>
  <c r="G6" i="2"/>
  <c r="H6" i="2"/>
  <c r="A7" i="2"/>
  <c r="B7" i="2"/>
  <c r="C7" i="2"/>
  <c r="D7" i="2"/>
  <c r="E7" i="2"/>
  <c r="F7" i="2"/>
  <c r="G7" i="2"/>
  <c r="H7" i="2"/>
  <c r="A8" i="2"/>
  <c r="B8" i="2"/>
  <c r="C8" i="2"/>
  <c r="D8" i="2"/>
  <c r="E8" i="2"/>
  <c r="F8" i="2"/>
  <c r="G8" i="2"/>
  <c r="H8" i="2"/>
  <c r="A9" i="2"/>
  <c r="B9" i="2"/>
  <c r="C9" i="2"/>
  <c r="D9" i="2"/>
  <c r="E9" i="2"/>
  <c r="F9" i="2"/>
  <c r="G9" i="2"/>
  <c r="H9" i="2"/>
  <c r="A10" i="2"/>
  <c r="B10" i="2"/>
  <c r="C10" i="2"/>
  <c r="D10" i="2"/>
  <c r="E10" i="2"/>
  <c r="F10" i="2"/>
  <c r="G10" i="2"/>
  <c r="H10" i="2"/>
  <c r="A11" i="2"/>
  <c r="B11" i="2"/>
  <c r="C11" i="2"/>
  <c r="D11" i="2"/>
  <c r="E11" i="2"/>
  <c r="F11" i="2"/>
  <c r="G11" i="2"/>
  <c r="H11" i="2"/>
  <c r="A12" i="2"/>
  <c r="B12" i="2"/>
  <c r="C12" i="2"/>
  <c r="D12" i="2"/>
  <c r="E12" i="2"/>
  <c r="F12" i="2"/>
  <c r="G12" i="2"/>
  <c r="H12" i="2"/>
  <c r="A13" i="2"/>
  <c r="B13" i="2"/>
  <c r="C13" i="2"/>
  <c r="D13" i="2"/>
  <c r="E13" i="2"/>
  <c r="F13" i="2"/>
  <c r="G13" i="2"/>
  <c r="H13" i="2"/>
  <c r="A14" i="2"/>
  <c r="B14" i="2"/>
  <c r="C14" i="2"/>
  <c r="D14" i="2"/>
  <c r="E14" i="2"/>
  <c r="F14" i="2"/>
  <c r="G14" i="2"/>
  <c r="H14" i="2"/>
  <c r="A15" i="2"/>
  <c r="B15" i="2"/>
  <c r="C15" i="2"/>
  <c r="D15" i="2"/>
  <c r="E15" i="2"/>
  <c r="F15" i="2"/>
  <c r="G15" i="2"/>
  <c r="H15" i="2"/>
  <c r="A16" i="2"/>
  <c r="B16" i="2"/>
  <c r="C16" i="2"/>
  <c r="D16" i="2"/>
  <c r="E16" i="2"/>
  <c r="F16" i="2"/>
  <c r="G16" i="2"/>
  <c r="H16" i="2"/>
  <c r="A17" i="2"/>
  <c r="B17" i="2"/>
  <c r="C17" i="2"/>
  <c r="D17" i="2"/>
  <c r="E17" i="2"/>
  <c r="F17" i="2"/>
  <c r="G17" i="2"/>
  <c r="H17" i="2"/>
  <c r="A18" i="2"/>
  <c r="B18" i="2"/>
  <c r="C18" i="2"/>
  <c r="D18" i="2"/>
  <c r="E18" i="2"/>
  <c r="F18" i="2"/>
  <c r="G18" i="2"/>
  <c r="H18" i="2"/>
  <c r="A19" i="2"/>
  <c r="B19" i="2"/>
  <c r="C19" i="2"/>
  <c r="D19" i="2"/>
  <c r="E19" i="2"/>
  <c r="F19" i="2"/>
  <c r="G19" i="2"/>
  <c r="H19" i="2"/>
  <c r="A20" i="2"/>
  <c r="B20" i="2"/>
  <c r="C20" i="2"/>
  <c r="D20" i="2"/>
  <c r="E20" i="2"/>
  <c r="F20" i="2"/>
  <c r="G20" i="2"/>
  <c r="H20" i="2"/>
  <c r="A21" i="2"/>
  <c r="B21" i="2"/>
  <c r="C21" i="2"/>
  <c r="D21" i="2"/>
  <c r="E21" i="2"/>
  <c r="F21" i="2"/>
  <c r="G21" i="2"/>
  <c r="H21" i="2"/>
  <c r="A22" i="2"/>
  <c r="B22" i="2"/>
  <c r="C22" i="2"/>
  <c r="D22" i="2"/>
  <c r="E22" i="2"/>
  <c r="F22" i="2"/>
  <c r="G22" i="2"/>
  <c r="H22" i="2"/>
  <c r="A23" i="2"/>
  <c r="B23" i="2"/>
  <c r="C23" i="2"/>
  <c r="D23" i="2"/>
  <c r="E23" i="2"/>
  <c r="F23" i="2"/>
  <c r="G23" i="2"/>
  <c r="H23" i="2"/>
  <c r="A24" i="2"/>
  <c r="B24" i="2"/>
  <c r="C24" i="2"/>
  <c r="D24" i="2"/>
  <c r="E24" i="2"/>
  <c r="F24" i="2"/>
  <c r="G24" i="2"/>
  <c r="H24" i="2"/>
  <c r="A25" i="2"/>
  <c r="B25" i="2"/>
  <c r="C25" i="2"/>
  <c r="D25" i="2"/>
  <c r="E25" i="2"/>
  <c r="F25" i="2"/>
  <c r="G25" i="2"/>
  <c r="H25" i="2"/>
  <c r="A26" i="2"/>
  <c r="B26" i="2"/>
  <c r="C26" i="2"/>
  <c r="D26" i="2"/>
  <c r="E26" i="2"/>
  <c r="F26" i="2"/>
  <c r="G26" i="2"/>
  <c r="H26" i="2"/>
  <c r="H1" i="2"/>
  <c r="B1" i="2"/>
  <c r="C1" i="2"/>
  <c r="D1" i="2"/>
  <c r="E1" i="2"/>
  <c r="F1" i="2"/>
  <c r="G1" i="2"/>
  <c r="A1" i="2"/>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2" i="1"/>
  <c r="J2" i="2" a="1"/>
  <c r="I9" i="4" l="1"/>
  <c r="I31" i="4"/>
  <c r="I52" i="4"/>
  <c r="I73" i="4"/>
  <c r="I95" i="4"/>
  <c r="I116" i="4"/>
  <c r="I137" i="4"/>
  <c r="I159" i="4"/>
  <c r="I180" i="4"/>
  <c r="I201" i="4"/>
  <c r="I223" i="4"/>
  <c r="I244" i="4"/>
  <c r="I265" i="4"/>
  <c r="I287" i="4"/>
  <c r="I308" i="4"/>
  <c r="I16" i="4"/>
  <c r="I37" i="4"/>
  <c r="I59" i="4"/>
  <c r="I80" i="4"/>
  <c r="I101" i="4"/>
  <c r="I123" i="4"/>
  <c r="I144" i="4"/>
  <c r="I165" i="4"/>
  <c r="I187" i="4"/>
  <c r="I208" i="4"/>
  <c r="I229" i="4"/>
  <c r="I251" i="4"/>
  <c r="I272" i="4"/>
  <c r="I293" i="4"/>
  <c r="I315" i="4"/>
  <c r="I17" i="4"/>
  <c r="I39" i="4"/>
  <c r="I60" i="4"/>
  <c r="I81" i="4"/>
  <c r="I103" i="4"/>
  <c r="I124" i="4"/>
  <c r="I145" i="4"/>
  <c r="I167" i="4"/>
  <c r="I188" i="4"/>
  <c r="I209" i="4"/>
  <c r="I231" i="4"/>
  <c r="I252" i="4"/>
  <c r="I273" i="4"/>
  <c r="I295" i="4"/>
  <c r="I316" i="4"/>
  <c r="I19" i="4"/>
  <c r="I40" i="4"/>
  <c r="I61" i="4"/>
  <c r="I83" i="4"/>
  <c r="I104" i="4"/>
  <c r="I125" i="4"/>
  <c r="I147" i="4"/>
  <c r="I168" i="4"/>
  <c r="I189" i="4"/>
  <c r="I211" i="4"/>
  <c r="I232" i="4"/>
  <c r="I253" i="4"/>
  <c r="I275" i="4"/>
  <c r="I296" i="4"/>
  <c r="I317" i="4"/>
  <c r="I262" i="4"/>
  <c r="I198" i="4"/>
  <c r="I134" i="4"/>
  <c r="I70" i="4"/>
  <c r="I242" i="4"/>
  <c r="I258" i="4"/>
  <c r="I50" i="4"/>
  <c r="I270" i="4"/>
  <c r="I206" i="4"/>
  <c r="I142" i="4"/>
  <c r="I78" i="4"/>
  <c r="I274" i="4"/>
  <c r="I114" i="4"/>
  <c r="I314" i="4"/>
  <c r="I250" i="4"/>
  <c r="I186" i="4"/>
  <c r="I122" i="4"/>
  <c r="I58" i="4"/>
  <c r="I22" i="4"/>
  <c r="I15" i="4"/>
  <c r="I36" i="4"/>
  <c r="I57" i="4"/>
  <c r="I79" i="4"/>
  <c r="I100" i="4"/>
  <c r="I121" i="4"/>
  <c r="I143" i="4"/>
  <c r="I164" i="4"/>
  <c r="I185" i="4"/>
  <c r="I207" i="4"/>
  <c r="I228" i="4"/>
  <c r="I249" i="4"/>
  <c r="I271" i="4"/>
  <c r="I292" i="4"/>
  <c r="I313" i="4"/>
  <c r="I21" i="4"/>
  <c r="I43" i="4"/>
  <c r="I64" i="4"/>
  <c r="I85" i="4"/>
  <c r="I107" i="4"/>
  <c r="I128" i="4"/>
  <c r="I149" i="4"/>
  <c r="I171" i="4"/>
  <c r="I192" i="4"/>
  <c r="I213" i="4"/>
  <c r="I235" i="4"/>
  <c r="I256" i="4"/>
  <c r="I277" i="4"/>
  <c r="I299" i="4"/>
  <c r="I2" i="4"/>
  <c r="I23" i="4"/>
  <c r="I44" i="4"/>
  <c r="I65" i="4"/>
  <c r="I87" i="4"/>
  <c r="I108" i="4"/>
  <c r="I129" i="4"/>
  <c r="I151" i="4"/>
  <c r="I172" i="4"/>
  <c r="I193" i="4"/>
  <c r="I215" i="4"/>
  <c r="I236" i="4"/>
  <c r="I257" i="4"/>
  <c r="I279" i="4"/>
  <c r="I300" i="4"/>
  <c r="I3" i="4"/>
  <c r="I24" i="4"/>
  <c r="I45" i="4"/>
  <c r="I67" i="4"/>
  <c r="I88" i="4"/>
  <c r="I109" i="4"/>
  <c r="I131" i="4"/>
  <c r="I152" i="4"/>
  <c r="I173" i="4"/>
  <c r="I195" i="4"/>
  <c r="I216" i="4"/>
  <c r="I237" i="4"/>
  <c r="I259" i="4"/>
  <c r="I280" i="4"/>
  <c r="I301" i="4"/>
  <c r="I310" i="4"/>
  <c r="I246" i="4"/>
  <c r="I182" i="4"/>
  <c r="I118" i="4"/>
  <c r="I54" i="4"/>
  <c r="I194" i="4"/>
  <c r="I210" i="4"/>
  <c r="I318" i="4"/>
  <c r="I254" i="4"/>
  <c r="I190" i="4"/>
  <c r="I126" i="4"/>
  <c r="I62" i="4"/>
  <c r="I226" i="4"/>
  <c r="I82" i="4"/>
  <c r="I298" i="4"/>
  <c r="I234" i="4"/>
  <c r="I170" i="4"/>
  <c r="I106" i="4"/>
  <c r="I42" i="4"/>
  <c r="I18" i="4"/>
  <c r="I20" i="4"/>
  <c r="I41" i="4"/>
  <c r="I63" i="4"/>
  <c r="I84" i="4"/>
  <c r="I105" i="4"/>
  <c r="I127" i="4"/>
  <c r="I148" i="4"/>
  <c r="I169" i="4"/>
  <c r="I191" i="4"/>
  <c r="I212" i="4"/>
  <c r="I233" i="4"/>
  <c r="I255" i="4"/>
  <c r="I276" i="4"/>
  <c r="I297" i="4"/>
  <c r="I5" i="4"/>
  <c r="I27" i="4"/>
  <c r="I48" i="4"/>
  <c r="I69" i="4"/>
  <c r="I91" i="4"/>
  <c r="I112" i="4"/>
  <c r="I133" i="4"/>
  <c r="I155" i="4"/>
  <c r="I176" i="4"/>
  <c r="I197" i="4"/>
  <c r="I219" i="4"/>
  <c r="I240" i="4"/>
  <c r="I261" i="4"/>
  <c r="I283" i="4"/>
  <c r="I304" i="4"/>
  <c r="I7" i="4"/>
  <c r="I28" i="4"/>
  <c r="I49" i="4"/>
  <c r="I71" i="4"/>
  <c r="I92" i="4"/>
  <c r="I113" i="4"/>
  <c r="I135" i="4"/>
  <c r="I156" i="4"/>
  <c r="I177" i="4"/>
  <c r="I199" i="4"/>
  <c r="I220" i="4"/>
  <c r="I241" i="4"/>
  <c r="I263" i="4"/>
  <c r="I284" i="4"/>
  <c r="I305" i="4"/>
  <c r="I8" i="4"/>
  <c r="I29" i="4"/>
  <c r="I51" i="4"/>
  <c r="I72" i="4"/>
  <c r="I93" i="4"/>
  <c r="I115" i="4"/>
  <c r="I136" i="4"/>
  <c r="I157" i="4"/>
  <c r="I179" i="4"/>
  <c r="I200" i="4"/>
  <c r="I221" i="4"/>
  <c r="I243" i="4"/>
  <c r="I264" i="4"/>
  <c r="I285" i="4"/>
  <c r="I307" i="4"/>
  <c r="I294" i="4"/>
  <c r="I230" i="4"/>
  <c r="I166" i="4"/>
  <c r="I102" i="4"/>
  <c r="I38" i="4"/>
  <c r="I98" i="4"/>
  <c r="I162" i="4"/>
  <c r="I302" i="4"/>
  <c r="I238" i="4"/>
  <c r="I174" i="4"/>
  <c r="I110" i="4"/>
  <c r="I46" i="4"/>
  <c r="I178" i="4"/>
  <c r="I66" i="4"/>
  <c r="I282" i="4"/>
  <c r="I218" i="4"/>
  <c r="I154" i="4"/>
  <c r="I90" i="4"/>
  <c r="I10" i="4"/>
  <c r="I14" i="4"/>
  <c r="I4" i="4"/>
  <c r="I25" i="4"/>
  <c r="I47" i="4"/>
  <c r="I68" i="4"/>
  <c r="I89" i="4"/>
  <c r="I111" i="4"/>
  <c r="I132" i="4"/>
  <c r="I153" i="4"/>
  <c r="I175" i="4"/>
  <c r="I196" i="4"/>
  <c r="I217" i="4"/>
  <c r="I239" i="4"/>
  <c r="I260" i="4"/>
  <c r="I281" i="4"/>
  <c r="I303" i="4"/>
  <c r="I11" i="4"/>
  <c r="I32" i="4"/>
  <c r="I53" i="4"/>
  <c r="I75" i="4"/>
  <c r="I96" i="4"/>
  <c r="I117" i="4"/>
  <c r="I139" i="4"/>
  <c r="I160" i="4"/>
  <c r="I181" i="4"/>
  <c r="I203" i="4"/>
  <c r="I224" i="4"/>
  <c r="I245" i="4"/>
  <c r="I267" i="4"/>
  <c r="I288" i="4"/>
  <c r="I309" i="4"/>
  <c r="I12" i="4"/>
  <c r="I33" i="4"/>
  <c r="I55" i="4"/>
  <c r="I76" i="4"/>
  <c r="I97" i="4"/>
  <c r="I119" i="4"/>
  <c r="I140" i="4"/>
  <c r="I161" i="4"/>
  <c r="I183" i="4"/>
  <c r="I204" i="4"/>
  <c r="I225" i="4"/>
  <c r="I247" i="4"/>
  <c r="I268" i="4"/>
  <c r="I289" i="4"/>
  <c r="I311" i="4"/>
  <c r="I13" i="4"/>
  <c r="I35" i="4"/>
  <c r="I56" i="4"/>
  <c r="I77" i="4"/>
  <c r="I99" i="4"/>
  <c r="I120" i="4"/>
  <c r="I141" i="4"/>
  <c r="I163" i="4"/>
  <c r="I184" i="4"/>
  <c r="I205" i="4"/>
  <c r="I227" i="4"/>
  <c r="I248" i="4"/>
  <c r="I269" i="4"/>
  <c r="I291" i="4"/>
  <c r="I312" i="4"/>
  <c r="I278" i="4"/>
  <c r="I214" i="4"/>
  <c r="I150" i="4"/>
  <c r="I86" i="4"/>
  <c r="I306" i="4"/>
  <c r="I290" i="4"/>
  <c r="I130" i="4"/>
  <c r="I286" i="4"/>
  <c r="I222" i="4"/>
  <c r="I158" i="4"/>
  <c r="I94" i="4"/>
  <c r="I30" i="4"/>
  <c r="I146" i="4"/>
  <c r="I34" i="4"/>
  <c r="I266" i="4"/>
  <c r="I202" i="4"/>
  <c r="I138" i="4"/>
  <c r="I74" i="4"/>
  <c r="I26" i="4"/>
  <c r="M2" i="2"/>
  <c r="M3" i="2"/>
  <c r="M4" i="2"/>
  <c r="L4" i="2"/>
  <c r="J2" i="2"/>
  <c r="J3" i="2"/>
  <c r="J4" i="2"/>
  <c r="L3" i="2"/>
  <c r="K2" i="2"/>
  <c r="K3" i="2"/>
  <c r="K4" i="2"/>
  <c r="L2" i="2"/>
</calcChain>
</file>

<file path=xl/comments1.xml><?xml version="1.0" encoding="utf-8"?>
<comments xmlns="http://schemas.openxmlformats.org/spreadsheetml/2006/main">
  <authors>
    <author>Emrah Ozpeynirci</author>
  </authors>
  <commentList>
    <comment ref="E1" authorId="0" shapeId="0">
      <text>
        <r>
          <rPr>
            <b/>
            <sz val="9"/>
            <color indexed="81"/>
            <rFont val="Tahoma"/>
            <family val="2"/>
          </rPr>
          <t>Emrah Ozpeynirci:</t>
        </r>
        <r>
          <rPr>
            <sz val="9"/>
            <color indexed="81"/>
            <rFont val="Tahoma"/>
            <family val="2"/>
          </rPr>
          <t xml:space="preserve">
LGD of defaulted bonds</t>
        </r>
      </text>
    </comment>
    <comment ref="F1" authorId="0" shapeId="0">
      <text>
        <r>
          <rPr>
            <b/>
            <sz val="9"/>
            <color indexed="81"/>
            <rFont val="Tahoma"/>
            <family val="2"/>
          </rPr>
          <t>Emrah Ozpeynirci:</t>
        </r>
        <r>
          <rPr>
            <sz val="9"/>
            <color indexed="81"/>
            <rFont val="Tahoma"/>
            <family val="2"/>
          </rPr>
          <t xml:space="preserve">
leverage in the year prior to default</t>
        </r>
      </text>
    </comment>
    <comment ref="J1" authorId="0" shapeId="0">
      <text>
        <r>
          <rPr>
            <b/>
            <sz val="9"/>
            <color indexed="81"/>
            <rFont val="Tahoma"/>
            <family val="2"/>
          </rPr>
          <t>Emrah Ozpeynirci:</t>
        </r>
        <r>
          <rPr>
            <sz val="9"/>
            <color indexed="81"/>
            <rFont val="Tahoma"/>
            <family val="2"/>
          </rPr>
          <t xml:space="preserve">
given parameters</t>
        </r>
      </text>
    </comment>
    <comment ref="J8" authorId="0" shapeId="0">
      <text>
        <r>
          <rPr>
            <b/>
            <sz val="9"/>
            <color indexed="81"/>
            <rFont val="Tahoma"/>
            <family val="2"/>
          </rPr>
          <t>Emrah Ozpeynirci:</t>
        </r>
        <r>
          <rPr>
            <sz val="9"/>
            <color indexed="81"/>
            <rFont val="Tahoma"/>
            <family val="2"/>
          </rPr>
          <t xml:space="preserve">
given parameters</t>
        </r>
      </text>
    </comment>
  </commentList>
</comments>
</file>

<file path=xl/comments2.xml><?xml version="1.0" encoding="utf-8"?>
<comments xmlns="http://schemas.openxmlformats.org/spreadsheetml/2006/main">
  <authors>
    <author>Emrah Ozpeynirci</author>
  </authors>
  <commentList>
    <comment ref="I2" authorId="0" shapeId="0">
      <text>
        <r>
          <rPr>
            <b/>
            <sz val="9"/>
            <color indexed="81"/>
            <rFont val="Tahoma"/>
            <family val="2"/>
          </rPr>
          <t>Emrah Ozpeynirci:</t>
        </r>
        <r>
          <rPr>
            <sz val="9"/>
            <color indexed="81"/>
            <rFont val="Tahoma"/>
            <family val="2"/>
          </rPr>
          <t xml:space="preserve">
OLS coefficient estimates</t>
        </r>
      </text>
    </comment>
    <comment ref="I3" authorId="0" shapeId="0">
      <text>
        <r>
          <rPr>
            <b/>
            <sz val="9"/>
            <color indexed="81"/>
            <rFont val="Tahoma"/>
            <family val="2"/>
          </rPr>
          <t>Emrah Ozpeynirci:</t>
        </r>
        <r>
          <rPr>
            <sz val="9"/>
            <color indexed="81"/>
            <rFont val="Tahoma"/>
            <family val="2"/>
          </rPr>
          <t xml:space="preserve">
cluster robust standard errors</t>
        </r>
      </text>
    </comment>
  </commentList>
</comments>
</file>

<file path=xl/comments3.xml><?xml version="1.0" encoding="utf-8"?>
<comments xmlns="http://schemas.openxmlformats.org/spreadsheetml/2006/main">
  <authors>
    <author>Emrah Ozpeynirci</author>
  </authors>
  <commentList>
    <comment ref="I1" authorId="0" shapeId="0">
      <text>
        <r>
          <rPr>
            <b/>
            <sz val="9"/>
            <color indexed="81"/>
            <rFont val="Tahoma"/>
            <family val="2"/>
          </rPr>
          <t>Emrah Ozpeynirci:</t>
        </r>
        <r>
          <rPr>
            <sz val="9"/>
            <color indexed="81"/>
            <rFont val="Tahoma"/>
            <family val="2"/>
          </rPr>
          <t xml:space="preserve">
in this column, we transform the LGD values , first by appliying the beta distribution, then by appliying the inverse normal distribution. </t>
        </r>
      </text>
    </comment>
    <comment ref="J2" authorId="0" shapeId="0">
      <text>
        <r>
          <rPr>
            <b/>
            <sz val="9"/>
            <color indexed="81"/>
            <rFont val="Tahoma"/>
            <family val="2"/>
          </rPr>
          <t>Emrah Ozpeynirci:</t>
        </r>
        <r>
          <rPr>
            <sz val="9"/>
            <color indexed="81"/>
            <rFont val="Tahoma"/>
            <family val="2"/>
          </rPr>
          <t xml:space="preserve">
OLS coefficient estimates</t>
        </r>
      </text>
    </comment>
    <comment ref="J3" authorId="0" shapeId="0">
      <text>
        <r>
          <rPr>
            <b/>
            <sz val="9"/>
            <color indexed="81"/>
            <rFont val="Tahoma"/>
            <family val="2"/>
          </rPr>
          <t>Emrah Ozpeynirci:</t>
        </r>
        <r>
          <rPr>
            <sz val="9"/>
            <color indexed="81"/>
            <rFont val="Tahoma"/>
            <family val="2"/>
          </rPr>
          <t xml:space="preserve">
cluster robust standard errors</t>
        </r>
      </text>
    </comment>
    <comment ref="K10" authorId="0" shapeId="0">
      <text>
        <r>
          <rPr>
            <b/>
            <sz val="9"/>
            <color indexed="81"/>
            <rFont val="Tahoma"/>
            <family val="2"/>
          </rPr>
          <t>Emrah Ozpeynirci:</t>
        </r>
        <r>
          <rPr>
            <sz val="9"/>
            <color indexed="81"/>
            <rFont val="Tahoma"/>
            <family val="2"/>
          </rPr>
          <t xml:space="preserve">
the distribution is fully specified once we have determined its mean and standard deviation</t>
        </r>
      </text>
    </comment>
    <comment ref="K14" authorId="0" shapeId="0">
      <text>
        <r>
          <rPr>
            <b/>
            <sz val="9"/>
            <color indexed="81"/>
            <rFont val="Tahoma"/>
            <family val="2"/>
          </rPr>
          <t>Emrah Ozpeynirci:</t>
        </r>
        <r>
          <rPr>
            <sz val="9"/>
            <color indexed="81"/>
            <rFont val="Tahoma"/>
            <family val="2"/>
          </rPr>
          <t xml:space="preserve">
a and b are the two parameters of the distribution</t>
        </r>
      </text>
    </comment>
  </commentList>
</comments>
</file>

<file path=xl/comments4.xml><?xml version="1.0" encoding="utf-8"?>
<comments xmlns="http://schemas.openxmlformats.org/spreadsheetml/2006/main">
  <authors>
    <author>Emrah Ozpeynirci</author>
  </authors>
  <commentList>
    <comment ref="M10" authorId="0" shapeId="0">
      <text>
        <r>
          <rPr>
            <b/>
            <sz val="9"/>
            <color indexed="81"/>
            <rFont val="Tahoma"/>
            <family val="2"/>
          </rPr>
          <t>Emrah Ozpeynirci:</t>
        </r>
        <r>
          <rPr>
            <sz val="9"/>
            <color indexed="81"/>
            <rFont val="Tahoma"/>
            <family val="2"/>
          </rPr>
          <t xml:space="preserve">
the distribution is fully specified once we have determined its mean and standard deviation</t>
        </r>
      </text>
    </comment>
    <comment ref="M14" authorId="0" shapeId="0">
      <text>
        <r>
          <rPr>
            <b/>
            <sz val="9"/>
            <color indexed="81"/>
            <rFont val="Tahoma"/>
            <family val="2"/>
          </rPr>
          <t>Emrah Ozpeynirci:</t>
        </r>
        <r>
          <rPr>
            <sz val="9"/>
            <color indexed="81"/>
            <rFont val="Tahoma"/>
            <family val="2"/>
          </rPr>
          <t xml:space="preserve">
a and b are the two parameters of the distribution</t>
        </r>
      </text>
    </comment>
    <comment ref="M29" authorId="0" shapeId="0">
      <text>
        <r>
          <rPr>
            <b/>
            <sz val="9"/>
            <color indexed="81"/>
            <rFont val="Tahoma"/>
            <family val="2"/>
          </rPr>
          <t>Emrah Ozpeynirci:</t>
        </r>
        <r>
          <rPr>
            <sz val="9"/>
            <color indexed="81"/>
            <rFont val="Tahoma"/>
            <family val="2"/>
          </rPr>
          <t xml:space="preserve">
to assess the predictive accuracy, we determine a root mean squared error (RMSE). 
For the example data set, the beta transformation leads to a larger RMSE than the standard regression. When deciding which model to use in the future we would choose simple regression approach without transformation
</t>
        </r>
      </text>
    </comment>
  </commentList>
</comments>
</file>

<file path=xl/sharedStrings.xml><?xml version="1.0" encoding="utf-8"?>
<sst xmlns="http://schemas.openxmlformats.org/spreadsheetml/2006/main" count="688" uniqueCount="37">
  <si>
    <t>Year</t>
  </si>
  <si>
    <t>ID</t>
  </si>
  <si>
    <t>Industry</t>
  </si>
  <si>
    <t>Type</t>
  </si>
  <si>
    <t>LGD</t>
  </si>
  <si>
    <t>LEV</t>
  </si>
  <si>
    <t>Media</t>
  </si>
  <si>
    <t>Sr. Unsec.</t>
  </si>
  <si>
    <t>Sub.</t>
  </si>
  <si>
    <t>Retail</t>
  </si>
  <si>
    <t>Sr. Sec.</t>
  </si>
  <si>
    <t>Transp</t>
  </si>
  <si>
    <t>Tech</t>
  </si>
  <si>
    <t>Sr. Sub.</t>
  </si>
  <si>
    <t>Energy</t>
  </si>
  <si>
    <t>Cons G</t>
  </si>
  <si>
    <t>Cap Ind</t>
  </si>
  <si>
    <t>Mean LGD for data until</t>
  </si>
  <si>
    <t>Industry default rates (in %)</t>
  </si>
  <si>
    <t>LGD_A</t>
  </si>
  <si>
    <t>I_DEF</t>
  </si>
  <si>
    <t>const</t>
  </si>
  <si>
    <t>coef</t>
  </si>
  <si>
    <t>SE (coef)</t>
  </si>
  <si>
    <t>R2/RMSE</t>
  </si>
  <si>
    <t>t-stat</t>
  </si>
  <si>
    <t>T_LGD</t>
  </si>
  <si>
    <t>Empirical LGD distribution</t>
  </si>
  <si>
    <t>Mean</t>
  </si>
  <si>
    <t>St. dev.</t>
  </si>
  <si>
    <t>Calibrated BETA distribution</t>
  </si>
  <si>
    <t>a</t>
  </si>
  <si>
    <t>b</t>
  </si>
  <si>
    <t>Forecasts</t>
  </si>
  <si>
    <t>Simple</t>
  </si>
  <si>
    <t>Transformed</t>
  </si>
  <si>
    <t>Root Mean Squared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</si>
</sst>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6" formatCode="0.000"/>
    <numFmt numFmtId="167" formatCode="0.0%"/>
  </numFmts>
  <fonts count="9" x14ac:knownFonts="1">
    <font>
      <sz val="11"/>
      <color theme="1"/>
      <name val="Calibri"/>
      <family val="2"/>
      <scheme val="minor"/>
    </font>
    <font>
      <sz val="11"/>
      <color theme="1"/>
      <name val="Calibri"/>
      <family val="2"/>
      <scheme val="minor"/>
    </font>
    <font>
      <sz val="11"/>
      <color rgb="FF006100"/>
      <name val="Calibri"/>
      <family val="2"/>
      <scheme val="minor"/>
    </font>
    <font>
      <b/>
      <sz val="11"/>
      <color rgb="FF3F3F3F"/>
      <name val="Calibri"/>
      <family val="2"/>
      <scheme val="minor"/>
    </font>
    <font>
      <b/>
      <sz val="11"/>
      <color theme="1"/>
      <name val="Calibri"/>
      <family val="2"/>
      <scheme val="minor"/>
    </font>
    <font>
      <sz val="9"/>
      <color indexed="81"/>
      <name val="Tahoma"/>
      <family val="2"/>
    </font>
    <font>
      <b/>
      <sz val="9"/>
      <color indexed="81"/>
      <name val="Tahoma"/>
      <family val="2"/>
    </font>
    <font>
      <b/>
      <sz val="10"/>
      <name val="Arial"/>
      <family val="2"/>
    </font>
    <font>
      <sz val="10"/>
      <color indexed="8"/>
      <name val="Arial"/>
      <family val="2"/>
    </font>
  </fonts>
  <fills count="6">
    <fill>
      <patternFill patternType="none"/>
    </fill>
    <fill>
      <patternFill patternType="gray125"/>
    </fill>
    <fill>
      <patternFill patternType="solid">
        <fgColor rgb="FFC6EFCE"/>
      </patternFill>
    </fill>
    <fill>
      <patternFill patternType="solid">
        <fgColor rgb="FFF2F2F2"/>
      </patternFill>
    </fill>
    <fill>
      <patternFill patternType="solid">
        <fgColor theme="9" tint="0.39997558519241921"/>
        <bgColor indexed="64"/>
      </patternFill>
    </fill>
    <fill>
      <patternFill patternType="solid">
        <fgColor theme="8" tint="0.39997558519241921"/>
        <bgColor indexed="64"/>
      </patternFill>
    </fill>
  </fills>
  <borders count="2">
    <border>
      <left/>
      <right/>
      <top/>
      <bottom/>
      <diagonal/>
    </border>
    <border>
      <left style="thin">
        <color rgb="FF3F3F3F"/>
      </left>
      <right style="thin">
        <color rgb="FF3F3F3F"/>
      </right>
      <top style="thin">
        <color rgb="FF3F3F3F"/>
      </top>
      <bottom style="thin">
        <color rgb="FF3F3F3F"/>
      </bottom>
      <diagonal/>
    </border>
  </borders>
  <cellStyleXfs count="4">
    <xf numFmtId="0" fontId="0" fillId="0" borderId="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cellStyleXfs>
  <cellXfs count="17">
    <xf numFmtId="0" fontId="0" fillId="0" borderId="0" xfId="0"/>
    <xf numFmtId="0" fontId="4" fillId="0" borderId="0" xfId="0" applyFont="1"/>
    <xf numFmtId="166" fontId="0" fillId="0" borderId="0" xfId="0" applyNumberFormat="1"/>
    <xf numFmtId="2" fontId="0" fillId="0" borderId="0" xfId="0" applyNumberFormat="1"/>
    <xf numFmtId="0" fontId="7" fillId="0" borderId="0" xfId="0" applyFont="1"/>
    <xf numFmtId="166" fontId="0" fillId="0" borderId="0" xfId="1" applyNumberFormat="1" applyFont="1"/>
    <xf numFmtId="167" fontId="0" fillId="0" borderId="0" xfId="0" applyNumberFormat="1"/>
    <xf numFmtId="0" fontId="2" fillId="2" borderId="0" xfId="2"/>
    <xf numFmtId="0" fontId="3" fillId="3" borderId="1" xfId="3"/>
    <xf numFmtId="166" fontId="3" fillId="3" borderId="1" xfId="3" applyNumberFormat="1"/>
    <xf numFmtId="0" fontId="3" fillId="3" borderId="1" xfId="3" applyAlignment="1">
      <alignment horizontal="right"/>
    </xf>
    <xf numFmtId="0" fontId="7" fillId="0" borderId="0" xfId="0" applyFont="1" applyAlignment="1"/>
    <xf numFmtId="0" fontId="0" fillId="0" borderId="0" xfId="0" applyAlignment="1"/>
    <xf numFmtId="0" fontId="8" fillId="0" borderId="0" xfId="0" applyFont="1" applyBorder="1" applyAlignment="1">
      <alignment vertical="top"/>
    </xf>
    <xf numFmtId="166" fontId="8" fillId="0" borderId="0" xfId="0" applyNumberFormat="1" applyFont="1" applyFill="1" applyBorder="1" applyAlignment="1">
      <alignment vertical="top"/>
    </xf>
    <xf numFmtId="0" fontId="0" fillId="4" borderId="0" xfId="0" applyFill="1"/>
    <xf numFmtId="0" fontId="0" fillId="5" borderId="0" xfId="0" applyFill="1"/>
  </cellXfs>
  <cellStyles count="4">
    <cellStyle name="Good" xfId="2" builtinId="26"/>
    <cellStyle name="Normal" xfId="0" builtinId="0"/>
    <cellStyle name="Output" xfId="3" builtinId="21"/>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14</xdr:col>
      <xdr:colOff>314325</xdr:colOff>
      <xdr:row>1</xdr:row>
      <xdr:rowOff>57150</xdr:rowOff>
    </xdr:from>
    <xdr:to>
      <xdr:col>26</xdr:col>
      <xdr:colOff>485775</xdr:colOff>
      <xdr:row>43</xdr:row>
      <xdr:rowOff>114300</xdr:rowOff>
    </xdr:to>
    <xdr:sp macro="" textlink="">
      <xdr:nvSpPr>
        <xdr:cNvPr id="2" name="TextBox 1">
          <a:extLst>
            <a:ext uri="{FF2B5EF4-FFF2-40B4-BE49-F238E27FC236}">
              <a16:creationId xmlns:a16="http://schemas.microsoft.com/office/drawing/2014/main" id="{6788C9BA-F232-46E1-AD19-BB2D9F03FCA3}"/>
            </a:ext>
          </a:extLst>
        </xdr:cNvPr>
        <xdr:cNvSpPr txBox="1"/>
      </xdr:nvSpPr>
      <xdr:spPr>
        <a:xfrm>
          <a:off x="8848725" y="247650"/>
          <a:ext cx="7486650" cy="805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t>Prediction of LGD</a:t>
          </a:r>
        </a:p>
        <a:p>
          <a:r>
            <a:rPr lang="en-GB" sz="1100"/>
            <a:t>PD</a:t>
          </a:r>
          <a:r>
            <a:rPr lang="en-GB" sz="1100" baseline="0"/>
            <a:t> (Probability of default) is crucial for assessing the risk incurred by lenders, but does not give the complete picture. Lenders also need to assess the magnitude of losses that arise in the event of default. In literature loss magnitude usually expressed as a percentage loss rate, LGD.</a:t>
          </a:r>
        </a:p>
        <a:p>
          <a:endParaRPr lang="en-GB" sz="1100" baseline="0"/>
        </a:p>
        <a:p>
          <a:r>
            <a:rPr lang="en-GB" sz="1100" baseline="0"/>
            <a:t>Variables used for predicting LGD</a:t>
          </a:r>
        </a:p>
        <a:p>
          <a:pPr marL="171450" indent="-171450">
            <a:buFont typeface="Wingdings" panose="05000000000000000000" pitchFamily="2" charset="2"/>
            <a:buChar char="§"/>
          </a:pPr>
          <a:r>
            <a:rPr lang="en-GB" sz="1100"/>
            <a:t>instrument related</a:t>
          </a:r>
        </a:p>
        <a:p>
          <a:pPr marL="171450" indent="-171450">
            <a:buFont typeface="Wingdings" panose="05000000000000000000" pitchFamily="2" charset="2"/>
            <a:buChar char="§"/>
          </a:pPr>
          <a:r>
            <a:rPr lang="en-GB" sz="1100"/>
            <a:t>firm-specific</a:t>
          </a:r>
        </a:p>
        <a:p>
          <a:pPr marL="171450" indent="-171450">
            <a:buFont typeface="Wingdings" panose="05000000000000000000" pitchFamily="2" charset="2"/>
            <a:buChar char="§"/>
          </a:pPr>
          <a:r>
            <a:rPr lang="en-GB" sz="1100"/>
            <a:t>macroeconomic</a:t>
          </a:r>
        </a:p>
        <a:p>
          <a:pPr marL="171450" indent="-171450">
            <a:buFont typeface="Wingdings" panose="05000000000000000000" pitchFamily="2" charset="2"/>
            <a:buChar char="§"/>
          </a:pPr>
          <a:r>
            <a:rPr lang="en-GB" sz="1100"/>
            <a:t>industry specific</a:t>
          </a:r>
        </a:p>
        <a:p>
          <a:pPr marL="0" indent="0">
            <a:buFont typeface="Wingdings" panose="05000000000000000000" pitchFamily="2" charset="2"/>
            <a:buNone/>
          </a:pPr>
          <a:endParaRPr lang="en-GB" sz="1100"/>
        </a:p>
        <a:p>
          <a:pPr marL="0" indent="0">
            <a:buFont typeface="Wingdings" panose="05000000000000000000" pitchFamily="2" charset="2"/>
            <a:buNone/>
          </a:pPr>
          <a:r>
            <a:rPr lang="en-GB" sz="1100">
              <a:solidFill>
                <a:srgbClr val="FF0000"/>
              </a:solidFill>
            </a:rPr>
            <a:t>Instrument related variables</a:t>
          </a:r>
          <a:r>
            <a:rPr lang="en-GB" sz="1100"/>
            <a:t>:</a:t>
          </a:r>
          <a:r>
            <a:rPr lang="en-GB" sz="1100" baseline="0"/>
            <a:t> in the event of default not all barrowers are equal. Some are more senior than others. some debt instruments are secured giving the debt holders the right to claim specific assets connected with the instrument. Average historical LGDs for different debt types are shown on the side. </a:t>
          </a:r>
        </a:p>
        <a:p>
          <a:pPr marL="0" indent="0">
            <a:buFont typeface="Wingdings" panose="05000000000000000000" pitchFamily="2" charset="2"/>
            <a:buNone/>
          </a:pPr>
          <a:r>
            <a:rPr lang="en-GB" sz="1100" baseline="0"/>
            <a:t>In a regression model we can capture such average differences in two alternative ways.</a:t>
          </a:r>
        </a:p>
        <a:p>
          <a:pPr marL="0" indent="0">
            <a:buFont typeface="Wingdings" panose="05000000000000000000" pitchFamily="2" charset="2"/>
            <a:buNone/>
          </a:pPr>
          <a:r>
            <a:rPr lang="en-GB" sz="1100" baseline="0"/>
            <a:t>Create one variable that contains the historical average LGD of the respective debt type or introduce a dummy variable for debt types. </a:t>
          </a:r>
        </a:p>
        <a:p>
          <a:pPr marL="0" indent="0">
            <a:buFont typeface="Wingdings" panose="05000000000000000000" pitchFamily="2" charset="2"/>
            <a:buNone/>
          </a:pPr>
          <a:r>
            <a:rPr lang="en-GB" sz="1100" baseline="0"/>
            <a:t> </a:t>
          </a:r>
        </a:p>
        <a:p>
          <a:pPr marL="0" indent="0">
            <a:buFont typeface="Wingdings" panose="05000000000000000000" pitchFamily="2" charset="2"/>
            <a:buNone/>
          </a:pPr>
          <a:r>
            <a:rPr lang="en-GB" sz="1100" baseline="0">
              <a:solidFill>
                <a:srgbClr val="FF0000"/>
              </a:solidFill>
            </a:rPr>
            <a:t>Firm specific variables</a:t>
          </a:r>
          <a:r>
            <a:rPr lang="en-GB" sz="1100" baseline="0"/>
            <a:t>: the overall losses incurred by creditors will equal the value of liabilities minus the value of the firm's assets after bankruptcy costs. we can therefore increase the predictive accuracy if we find variables that contain information about the post-default asset value or bankruptcy costs. </a:t>
          </a:r>
        </a:p>
        <a:p>
          <a:pPr marL="0" indent="0">
            <a:buFont typeface="Wingdings" panose="05000000000000000000" pitchFamily="2" charset="2"/>
            <a:buNone/>
          </a:pPr>
          <a:endParaRPr lang="en-GB" sz="1100" baseline="0"/>
        </a:p>
        <a:p>
          <a:pPr marL="0" indent="0">
            <a:buFont typeface="Wingdings" panose="05000000000000000000" pitchFamily="2" charset="2"/>
            <a:buNone/>
          </a:pPr>
          <a:r>
            <a:rPr lang="en-GB" sz="1100">
              <a:solidFill>
                <a:schemeClr val="accent1"/>
              </a:solidFill>
            </a:rPr>
            <a:t>tangibility:</a:t>
          </a:r>
          <a:r>
            <a:rPr lang="en-GB" sz="1100" baseline="0"/>
            <a:t> (tangible assets) property, plant, equipment / total assets: higher this ratio lower the LGD</a:t>
          </a:r>
        </a:p>
        <a:p>
          <a:pPr marL="0" indent="0">
            <a:buFont typeface="Wingdings" panose="05000000000000000000" pitchFamily="2" charset="2"/>
            <a:buNone/>
          </a:pPr>
          <a:r>
            <a:rPr lang="en-GB" sz="1100" baseline="0">
              <a:solidFill>
                <a:schemeClr val="accent1"/>
              </a:solidFill>
            </a:rPr>
            <a:t>market to book ratio</a:t>
          </a:r>
          <a:r>
            <a:rPr lang="en-GB" sz="1100" baseline="0"/>
            <a:t>: Tobin's Q: (market value of equity + book value of liabilities) / total assets: the higher the ratio the higher the firm's market value, so lower the LGD.</a:t>
          </a:r>
        </a:p>
        <a:p>
          <a:pPr marL="0" indent="0">
            <a:buFont typeface="Wingdings" panose="05000000000000000000" pitchFamily="2" charset="2"/>
            <a:buNone/>
          </a:pPr>
          <a:r>
            <a:rPr lang="en-GB" sz="1100" baseline="0">
              <a:solidFill>
                <a:schemeClr val="accent1"/>
              </a:solidFill>
            </a:rPr>
            <a:t>Leverage: </a:t>
          </a:r>
          <a:r>
            <a:rPr lang="en-GB" sz="1100" baseline="0"/>
            <a:t>total debt / total assets: usually expected to be positively correlated with the LGD.</a:t>
          </a:r>
        </a:p>
        <a:p>
          <a:pPr marL="0" indent="0">
            <a:buFont typeface="Wingdings" panose="05000000000000000000" pitchFamily="2" charset="2"/>
            <a:buNone/>
          </a:pPr>
          <a:endParaRPr lang="en-GB" sz="1100" baseline="0"/>
        </a:p>
        <a:p>
          <a:pPr marL="0" indent="0">
            <a:buFont typeface="Wingdings" panose="05000000000000000000" pitchFamily="2" charset="2"/>
            <a:buNone/>
          </a:pPr>
          <a:r>
            <a:rPr lang="en-GB" sz="1100" baseline="0">
              <a:solidFill>
                <a:srgbClr val="FF0000"/>
              </a:solidFill>
            </a:rPr>
            <a:t>macroeconomic variables</a:t>
          </a:r>
          <a:r>
            <a:rPr lang="en-GB" sz="1100" baseline="0"/>
            <a:t>: in many cases the figures for the country in which the borrower is domiciled or generated largest part of income is used. </a:t>
          </a:r>
        </a:p>
        <a:p>
          <a:pPr marL="0" indent="0">
            <a:buFont typeface="Wingdings" panose="05000000000000000000" pitchFamily="2" charset="2"/>
            <a:buNone/>
          </a:pPr>
          <a:r>
            <a:rPr lang="en-GB" sz="1100" baseline="0">
              <a:solidFill>
                <a:schemeClr val="accent1"/>
              </a:solidFill>
            </a:rPr>
            <a:t>Capacity utilization</a:t>
          </a:r>
          <a:r>
            <a:rPr lang="en-GB" sz="1100" baseline="0"/>
            <a:t>: low capacity utilization means demand for firm's assets is low, because competitors do not need additionel production capacity. this leads to a high LGD</a:t>
          </a:r>
        </a:p>
        <a:p>
          <a:pPr marL="0" indent="0">
            <a:buFont typeface="Wingdings" panose="05000000000000000000" pitchFamily="2" charset="2"/>
            <a:buNone/>
          </a:pPr>
          <a:r>
            <a:rPr lang="en-GB" sz="1100" baseline="0">
              <a:solidFill>
                <a:schemeClr val="accent1"/>
              </a:solidFill>
            </a:rPr>
            <a:t>GDP growth</a:t>
          </a:r>
          <a:r>
            <a:rPr lang="en-GB" sz="1100" baseline="0"/>
            <a:t>: a negative economic environment leads high LGD</a:t>
          </a:r>
        </a:p>
        <a:p>
          <a:pPr marL="0" indent="0">
            <a:buFont typeface="Wingdings" panose="05000000000000000000" pitchFamily="2" charset="2"/>
            <a:buNone/>
          </a:pPr>
          <a:r>
            <a:rPr lang="en-GB" sz="1100" baseline="0">
              <a:solidFill>
                <a:schemeClr val="accent1"/>
              </a:solidFill>
            </a:rPr>
            <a:t>Corporate bond spreads: </a:t>
          </a:r>
          <a:r>
            <a:rPr lang="en-GB" sz="1100" baseline="0"/>
            <a:t>the asset value will fall with the increasing discount rates. the higher the spread the higher the expected LGD.</a:t>
          </a:r>
        </a:p>
        <a:p>
          <a:pPr marL="0" indent="0">
            <a:buFont typeface="Wingdings" panose="05000000000000000000" pitchFamily="2" charset="2"/>
            <a:buNone/>
          </a:pPr>
          <a:r>
            <a:rPr lang="en-GB" sz="1100" baseline="0">
              <a:solidFill>
                <a:schemeClr val="accent1"/>
              </a:solidFill>
            </a:rPr>
            <a:t>default rates</a:t>
          </a:r>
          <a:r>
            <a:rPr lang="en-GB" sz="1100" baseline="0"/>
            <a:t>: high default rates indicate negative economic environment and lead high LGD.</a:t>
          </a:r>
        </a:p>
        <a:p>
          <a:pPr marL="0" indent="0">
            <a:buFont typeface="Wingdings" panose="05000000000000000000" pitchFamily="2" charset="2"/>
            <a:buNone/>
          </a:pPr>
          <a:endParaRPr lang="en-GB" sz="1100" baseline="0"/>
        </a:p>
        <a:p>
          <a:pPr marL="0" indent="0">
            <a:buFont typeface="Wingdings" panose="05000000000000000000" pitchFamily="2" charset="2"/>
            <a:buNone/>
          </a:pPr>
          <a:r>
            <a:rPr lang="en-GB" sz="1100" baseline="0"/>
            <a:t>industry variables: capacity utilization same as above</a:t>
          </a:r>
        </a:p>
        <a:p>
          <a:pPr marL="0" indent="0">
            <a:buFont typeface="Wingdings" panose="05000000000000000000" pitchFamily="2" charset="2"/>
            <a:buNone/>
          </a:pPr>
          <a:r>
            <a:rPr lang="en-GB" sz="1100" baseline="0"/>
            <a:t>market ro book ratio: checking industry average to assess the firm.</a:t>
          </a:r>
        </a:p>
        <a:p>
          <a:pPr marL="0" indent="0">
            <a:buFont typeface="Wingdings" panose="05000000000000000000" pitchFamily="2" charset="2"/>
            <a:buNone/>
          </a:pPr>
          <a:endParaRPr lang="en-GB" sz="1100"/>
        </a:p>
      </xdr:txBody>
    </xdr:sp>
    <xdr:clientData/>
  </xdr:twoCellAnchor>
  <xdr:twoCellAnchor>
    <xdr:from>
      <xdr:col>2</xdr:col>
      <xdr:colOff>600075</xdr:colOff>
      <xdr:row>4</xdr:row>
      <xdr:rowOff>133350</xdr:rowOff>
    </xdr:from>
    <xdr:to>
      <xdr:col>5</xdr:col>
      <xdr:colOff>333375</xdr:colOff>
      <xdr:row>6</xdr:row>
      <xdr:rowOff>28575</xdr:rowOff>
    </xdr:to>
    <xdr:sp macro="" textlink="">
      <xdr:nvSpPr>
        <xdr:cNvPr id="3" name="TextBox 2">
          <a:extLst>
            <a:ext uri="{FF2B5EF4-FFF2-40B4-BE49-F238E27FC236}">
              <a16:creationId xmlns:a16="http://schemas.microsoft.com/office/drawing/2014/main" id="{10A14378-D4AA-476B-AA73-314396057525}"/>
            </a:ext>
          </a:extLst>
        </xdr:cNvPr>
        <xdr:cNvSpPr txBox="1"/>
      </xdr:nvSpPr>
      <xdr:spPr>
        <a:xfrm>
          <a:off x="1819275" y="895350"/>
          <a:ext cx="1562100" cy="2762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building the data set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171450</xdr:colOff>
      <xdr:row>2</xdr:row>
      <xdr:rowOff>38100</xdr:rowOff>
    </xdr:from>
    <xdr:to>
      <xdr:col>6</xdr:col>
      <xdr:colOff>304800</xdr:colOff>
      <xdr:row>3</xdr:row>
      <xdr:rowOff>152400</xdr:rowOff>
    </xdr:to>
    <xdr:sp macro="" textlink="">
      <xdr:nvSpPr>
        <xdr:cNvPr id="2" name="TextBox 1">
          <a:extLst>
            <a:ext uri="{FF2B5EF4-FFF2-40B4-BE49-F238E27FC236}">
              <a16:creationId xmlns:a16="http://schemas.microsoft.com/office/drawing/2014/main" id="{18F0AAFF-0E98-4485-A417-4568C3982956}"/>
            </a:ext>
          </a:extLst>
        </xdr:cNvPr>
        <xdr:cNvSpPr txBox="1"/>
      </xdr:nvSpPr>
      <xdr:spPr>
        <a:xfrm>
          <a:off x="2000250" y="419100"/>
          <a:ext cx="1962150" cy="3048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regression analysis</a:t>
          </a:r>
          <a:r>
            <a:rPr lang="en-GB" sz="1100" b="1" baseline="0"/>
            <a:t> of LGD</a:t>
          </a:r>
          <a:endParaRPr lang="en-GB" sz="1100" b="1"/>
        </a:p>
      </xdr:txBody>
    </xdr:sp>
    <xdr:clientData/>
  </xdr:twoCellAnchor>
  <xdr:twoCellAnchor>
    <xdr:from>
      <xdr:col>14</xdr:col>
      <xdr:colOff>219075</xdr:colOff>
      <xdr:row>6</xdr:row>
      <xdr:rowOff>95250</xdr:rowOff>
    </xdr:from>
    <xdr:to>
      <xdr:col>24</xdr:col>
      <xdr:colOff>114300</xdr:colOff>
      <xdr:row>21</xdr:row>
      <xdr:rowOff>152400</xdr:rowOff>
    </xdr:to>
    <xdr:sp macro="" textlink="">
      <xdr:nvSpPr>
        <xdr:cNvPr id="3" name="TextBox 2">
          <a:extLst>
            <a:ext uri="{FF2B5EF4-FFF2-40B4-BE49-F238E27FC236}">
              <a16:creationId xmlns:a16="http://schemas.microsoft.com/office/drawing/2014/main" id="{7EA6CEEA-A8A8-4243-B66C-BDDB43B7AF8B}"/>
            </a:ext>
          </a:extLst>
        </xdr:cNvPr>
        <xdr:cNvSpPr txBox="1"/>
      </xdr:nvSpPr>
      <xdr:spPr>
        <a:xfrm>
          <a:off x="8943975" y="1238250"/>
          <a:ext cx="5991225" cy="2914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for the regression part we start appliying ordinary least squares regression (OLS).</a:t>
          </a:r>
        </a:p>
        <a:p>
          <a:endParaRPr lang="en-GB" sz="1100"/>
        </a:p>
        <a:p>
          <a:r>
            <a:rPr lang="en-GB" sz="1100" b="1"/>
            <a:t>the observations from</a:t>
          </a:r>
          <a:r>
            <a:rPr lang="en-GB" sz="1100" b="1" baseline="0"/>
            <a:t> the data set before regression analysis:</a:t>
          </a:r>
        </a:p>
        <a:p>
          <a:r>
            <a:rPr lang="en-GB" sz="1100" baseline="0"/>
            <a:t>the firm with ID 1, enters with LGD values for both senior unsecured and subordinated bonds. this is likely to lead to correlations in the error terms u. if the assets of a defaulted firm have lost significantly in value or if its bakruptcy costs are high , the instruments issued by the firm will habe relatively high LGD. if the reasons behind such a high loss rate are not adequately captured through our explanatory variables, the error terms will be correlated. Therefore, we would tend to underestimate the LGD of its senior unsecured bonds, but we would also tend to underestimate the LGD of its subordinated bonds.</a:t>
          </a:r>
        </a:p>
        <a:p>
          <a:endParaRPr lang="en-GB" sz="1100" baseline="0"/>
        </a:p>
        <a:p>
          <a:r>
            <a:rPr lang="en-GB" sz="1100" u="sng" baseline="0"/>
            <a:t>in the presence of such correlations, OLS coefficient estimates are still reliable but the standard errors are no longer so. </a:t>
          </a:r>
        </a:p>
        <a:p>
          <a:endParaRPr lang="en-GB" sz="1100" baseline="0"/>
        </a:p>
        <a:p>
          <a:r>
            <a:rPr lang="en-GB" sz="1100"/>
            <a:t>depending on the nature of correlations , OLS standard errors can</a:t>
          </a:r>
          <a:r>
            <a:rPr lang="en-GB" sz="1100" baseline="0"/>
            <a:t> be too low or too high, leading to inflated or deflated t-statistics.</a:t>
          </a:r>
          <a:endParaRPr lang="en-GB" sz="1100"/>
        </a:p>
      </xdr:txBody>
    </xdr:sp>
    <xdr:clientData/>
  </xdr:twoCellAnchor>
  <xdr:twoCellAnchor>
    <xdr:from>
      <xdr:col>3</xdr:col>
      <xdr:colOff>171450</xdr:colOff>
      <xdr:row>28</xdr:row>
      <xdr:rowOff>38100</xdr:rowOff>
    </xdr:from>
    <xdr:to>
      <xdr:col>6</xdr:col>
      <xdr:colOff>304800</xdr:colOff>
      <xdr:row>29</xdr:row>
      <xdr:rowOff>152400</xdr:rowOff>
    </xdr:to>
    <xdr:sp macro="" textlink="">
      <xdr:nvSpPr>
        <xdr:cNvPr id="4" name="TextBox 3">
          <a:extLst>
            <a:ext uri="{FF2B5EF4-FFF2-40B4-BE49-F238E27FC236}">
              <a16:creationId xmlns:a16="http://schemas.microsoft.com/office/drawing/2014/main" id="{AD492C1B-89FA-4CEA-BE74-0D404E36498B}"/>
            </a:ext>
          </a:extLst>
        </xdr:cNvPr>
        <xdr:cNvSpPr txBox="1"/>
      </xdr:nvSpPr>
      <xdr:spPr>
        <a:xfrm>
          <a:off x="2000250" y="419100"/>
          <a:ext cx="1962150" cy="3048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regression analysis</a:t>
          </a:r>
          <a:r>
            <a:rPr lang="en-GB" sz="1100" b="1" baseline="0"/>
            <a:t> of LGD</a:t>
          </a:r>
          <a:endParaRPr lang="en-GB" sz="1100" b="1"/>
        </a:p>
      </xdr:txBody>
    </xdr:sp>
    <xdr:clientData/>
  </xdr:twoCellAnchor>
  <xdr:twoCellAnchor>
    <xdr:from>
      <xdr:col>3</xdr:col>
      <xdr:colOff>171450</xdr:colOff>
      <xdr:row>54</xdr:row>
      <xdr:rowOff>38100</xdr:rowOff>
    </xdr:from>
    <xdr:to>
      <xdr:col>6</xdr:col>
      <xdr:colOff>304800</xdr:colOff>
      <xdr:row>55</xdr:row>
      <xdr:rowOff>152400</xdr:rowOff>
    </xdr:to>
    <xdr:sp macro="" textlink="">
      <xdr:nvSpPr>
        <xdr:cNvPr id="5" name="TextBox 4">
          <a:extLst>
            <a:ext uri="{FF2B5EF4-FFF2-40B4-BE49-F238E27FC236}">
              <a16:creationId xmlns:a16="http://schemas.microsoft.com/office/drawing/2014/main" id="{A6829F6F-8131-45F7-8BEC-0F0FD48F0942}"/>
            </a:ext>
          </a:extLst>
        </xdr:cNvPr>
        <xdr:cNvSpPr txBox="1"/>
      </xdr:nvSpPr>
      <xdr:spPr>
        <a:xfrm>
          <a:off x="2000250" y="419100"/>
          <a:ext cx="1962150" cy="3048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regression analysis</a:t>
          </a:r>
          <a:r>
            <a:rPr lang="en-GB" sz="1100" b="1" baseline="0"/>
            <a:t> of LGD</a:t>
          </a:r>
          <a:endParaRPr lang="en-GB" sz="1100" b="1"/>
        </a:p>
      </xdr:txBody>
    </xdr:sp>
    <xdr:clientData/>
  </xdr:twoCellAnchor>
  <xdr:twoCellAnchor>
    <xdr:from>
      <xdr:col>3</xdr:col>
      <xdr:colOff>171450</xdr:colOff>
      <xdr:row>80</xdr:row>
      <xdr:rowOff>38100</xdr:rowOff>
    </xdr:from>
    <xdr:to>
      <xdr:col>6</xdr:col>
      <xdr:colOff>304800</xdr:colOff>
      <xdr:row>81</xdr:row>
      <xdr:rowOff>152400</xdr:rowOff>
    </xdr:to>
    <xdr:sp macro="" textlink="">
      <xdr:nvSpPr>
        <xdr:cNvPr id="6" name="TextBox 5">
          <a:extLst>
            <a:ext uri="{FF2B5EF4-FFF2-40B4-BE49-F238E27FC236}">
              <a16:creationId xmlns:a16="http://schemas.microsoft.com/office/drawing/2014/main" id="{2D793C92-6A02-41CB-906C-B386E647BC8D}"/>
            </a:ext>
          </a:extLst>
        </xdr:cNvPr>
        <xdr:cNvSpPr txBox="1"/>
      </xdr:nvSpPr>
      <xdr:spPr>
        <a:xfrm>
          <a:off x="2000250" y="419100"/>
          <a:ext cx="1962150" cy="3048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regression analysis</a:t>
          </a:r>
          <a:r>
            <a:rPr lang="en-GB" sz="1100" b="1" baseline="0"/>
            <a:t> of LGD</a:t>
          </a:r>
          <a:endParaRPr lang="en-GB" sz="1100" b="1"/>
        </a:p>
      </xdr:txBody>
    </xdr:sp>
    <xdr:clientData/>
  </xdr:twoCellAnchor>
  <xdr:twoCellAnchor>
    <xdr:from>
      <xdr:col>3</xdr:col>
      <xdr:colOff>171450</xdr:colOff>
      <xdr:row>106</xdr:row>
      <xdr:rowOff>38100</xdr:rowOff>
    </xdr:from>
    <xdr:to>
      <xdr:col>6</xdr:col>
      <xdr:colOff>304800</xdr:colOff>
      <xdr:row>107</xdr:row>
      <xdr:rowOff>152400</xdr:rowOff>
    </xdr:to>
    <xdr:sp macro="" textlink="">
      <xdr:nvSpPr>
        <xdr:cNvPr id="7" name="TextBox 6">
          <a:extLst>
            <a:ext uri="{FF2B5EF4-FFF2-40B4-BE49-F238E27FC236}">
              <a16:creationId xmlns:a16="http://schemas.microsoft.com/office/drawing/2014/main" id="{200B9969-1292-4B5D-8044-27D174EC28C6}"/>
            </a:ext>
          </a:extLst>
        </xdr:cNvPr>
        <xdr:cNvSpPr txBox="1"/>
      </xdr:nvSpPr>
      <xdr:spPr>
        <a:xfrm>
          <a:off x="2000250" y="419100"/>
          <a:ext cx="1962150" cy="3048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regression analysis</a:t>
          </a:r>
          <a:r>
            <a:rPr lang="en-GB" sz="1100" b="1" baseline="0"/>
            <a:t> of LGD</a:t>
          </a:r>
          <a:endParaRPr lang="en-GB" sz="1100" b="1"/>
        </a:p>
      </xdr:txBody>
    </xdr:sp>
    <xdr:clientData/>
  </xdr:twoCellAnchor>
  <xdr:twoCellAnchor>
    <xdr:from>
      <xdr:col>3</xdr:col>
      <xdr:colOff>171450</xdr:colOff>
      <xdr:row>132</xdr:row>
      <xdr:rowOff>38100</xdr:rowOff>
    </xdr:from>
    <xdr:to>
      <xdr:col>6</xdr:col>
      <xdr:colOff>304800</xdr:colOff>
      <xdr:row>133</xdr:row>
      <xdr:rowOff>152400</xdr:rowOff>
    </xdr:to>
    <xdr:sp macro="" textlink="">
      <xdr:nvSpPr>
        <xdr:cNvPr id="8" name="TextBox 7">
          <a:extLst>
            <a:ext uri="{FF2B5EF4-FFF2-40B4-BE49-F238E27FC236}">
              <a16:creationId xmlns:a16="http://schemas.microsoft.com/office/drawing/2014/main" id="{BEB074AC-0817-4393-8158-EE9C663AD2A4}"/>
            </a:ext>
          </a:extLst>
        </xdr:cNvPr>
        <xdr:cNvSpPr txBox="1"/>
      </xdr:nvSpPr>
      <xdr:spPr>
        <a:xfrm>
          <a:off x="2000250" y="419100"/>
          <a:ext cx="1962150" cy="3048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regression analysis</a:t>
          </a:r>
          <a:r>
            <a:rPr lang="en-GB" sz="1100" b="1" baseline="0"/>
            <a:t> of LGD</a:t>
          </a:r>
          <a:endParaRPr lang="en-GB" sz="1100" b="1"/>
        </a:p>
      </xdr:txBody>
    </xdr:sp>
    <xdr:clientData/>
  </xdr:twoCellAnchor>
  <xdr:twoCellAnchor>
    <xdr:from>
      <xdr:col>3</xdr:col>
      <xdr:colOff>171450</xdr:colOff>
      <xdr:row>158</xdr:row>
      <xdr:rowOff>38100</xdr:rowOff>
    </xdr:from>
    <xdr:to>
      <xdr:col>6</xdr:col>
      <xdr:colOff>304800</xdr:colOff>
      <xdr:row>159</xdr:row>
      <xdr:rowOff>152400</xdr:rowOff>
    </xdr:to>
    <xdr:sp macro="" textlink="">
      <xdr:nvSpPr>
        <xdr:cNvPr id="9" name="TextBox 8">
          <a:extLst>
            <a:ext uri="{FF2B5EF4-FFF2-40B4-BE49-F238E27FC236}">
              <a16:creationId xmlns:a16="http://schemas.microsoft.com/office/drawing/2014/main" id="{4BB8850D-C9C2-49D7-B9EB-F26DC6ECEB3B}"/>
            </a:ext>
          </a:extLst>
        </xdr:cNvPr>
        <xdr:cNvSpPr txBox="1"/>
      </xdr:nvSpPr>
      <xdr:spPr>
        <a:xfrm>
          <a:off x="2000250" y="419100"/>
          <a:ext cx="1962150" cy="3048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regression analysis</a:t>
          </a:r>
          <a:r>
            <a:rPr lang="en-GB" sz="1100" b="1" baseline="0"/>
            <a:t> of LGD</a:t>
          </a:r>
          <a:endParaRPr lang="en-GB" sz="1100" b="1"/>
        </a:p>
      </xdr:txBody>
    </xdr:sp>
    <xdr:clientData/>
  </xdr:twoCellAnchor>
  <xdr:twoCellAnchor>
    <xdr:from>
      <xdr:col>3</xdr:col>
      <xdr:colOff>171450</xdr:colOff>
      <xdr:row>184</xdr:row>
      <xdr:rowOff>38100</xdr:rowOff>
    </xdr:from>
    <xdr:to>
      <xdr:col>6</xdr:col>
      <xdr:colOff>304800</xdr:colOff>
      <xdr:row>185</xdr:row>
      <xdr:rowOff>152400</xdr:rowOff>
    </xdr:to>
    <xdr:sp macro="" textlink="">
      <xdr:nvSpPr>
        <xdr:cNvPr id="10" name="TextBox 9">
          <a:extLst>
            <a:ext uri="{FF2B5EF4-FFF2-40B4-BE49-F238E27FC236}">
              <a16:creationId xmlns:a16="http://schemas.microsoft.com/office/drawing/2014/main" id="{E3686023-C897-41C5-8C91-F63613A52F51}"/>
            </a:ext>
          </a:extLst>
        </xdr:cNvPr>
        <xdr:cNvSpPr txBox="1"/>
      </xdr:nvSpPr>
      <xdr:spPr>
        <a:xfrm>
          <a:off x="2000250" y="419100"/>
          <a:ext cx="1962150" cy="3048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regression analysis</a:t>
          </a:r>
          <a:r>
            <a:rPr lang="en-GB" sz="1100" b="1" baseline="0"/>
            <a:t> of LGD</a:t>
          </a:r>
          <a:endParaRPr lang="en-GB" sz="1100" b="1"/>
        </a:p>
      </xdr:txBody>
    </xdr:sp>
    <xdr:clientData/>
  </xdr:twoCellAnchor>
  <xdr:twoCellAnchor>
    <xdr:from>
      <xdr:col>3</xdr:col>
      <xdr:colOff>171450</xdr:colOff>
      <xdr:row>210</xdr:row>
      <xdr:rowOff>38100</xdr:rowOff>
    </xdr:from>
    <xdr:to>
      <xdr:col>6</xdr:col>
      <xdr:colOff>304800</xdr:colOff>
      <xdr:row>211</xdr:row>
      <xdr:rowOff>152400</xdr:rowOff>
    </xdr:to>
    <xdr:sp macro="" textlink="">
      <xdr:nvSpPr>
        <xdr:cNvPr id="11" name="TextBox 10">
          <a:extLst>
            <a:ext uri="{FF2B5EF4-FFF2-40B4-BE49-F238E27FC236}">
              <a16:creationId xmlns:a16="http://schemas.microsoft.com/office/drawing/2014/main" id="{062B0DDE-3F62-44A9-84BE-92EB5EBA5F4D}"/>
            </a:ext>
          </a:extLst>
        </xdr:cNvPr>
        <xdr:cNvSpPr txBox="1"/>
      </xdr:nvSpPr>
      <xdr:spPr>
        <a:xfrm>
          <a:off x="2000250" y="419100"/>
          <a:ext cx="1962150" cy="3048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regression analysis</a:t>
          </a:r>
          <a:r>
            <a:rPr lang="en-GB" sz="1100" b="1" baseline="0"/>
            <a:t> of LGD</a:t>
          </a:r>
          <a:endParaRPr lang="en-GB" sz="1100" b="1"/>
        </a:p>
      </xdr:txBody>
    </xdr:sp>
    <xdr:clientData/>
  </xdr:twoCellAnchor>
  <xdr:twoCellAnchor>
    <xdr:from>
      <xdr:col>3</xdr:col>
      <xdr:colOff>171450</xdr:colOff>
      <xdr:row>236</xdr:row>
      <xdr:rowOff>38100</xdr:rowOff>
    </xdr:from>
    <xdr:to>
      <xdr:col>6</xdr:col>
      <xdr:colOff>304800</xdr:colOff>
      <xdr:row>237</xdr:row>
      <xdr:rowOff>152400</xdr:rowOff>
    </xdr:to>
    <xdr:sp macro="" textlink="">
      <xdr:nvSpPr>
        <xdr:cNvPr id="12" name="TextBox 11">
          <a:extLst>
            <a:ext uri="{FF2B5EF4-FFF2-40B4-BE49-F238E27FC236}">
              <a16:creationId xmlns:a16="http://schemas.microsoft.com/office/drawing/2014/main" id="{7A282042-B3EB-4FBE-9CDA-3245478EEA93}"/>
            </a:ext>
          </a:extLst>
        </xdr:cNvPr>
        <xdr:cNvSpPr txBox="1"/>
      </xdr:nvSpPr>
      <xdr:spPr>
        <a:xfrm>
          <a:off x="2000250" y="419100"/>
          <a:ext cx="1962150" cy="3048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regression analysis</a:t>
          </a:r>
          <a:r>
            <a:rPr lang="en-GB" sz="1100" b="1" baseline="0"/>
            <a:t> of LGD</a:t>
          </a:r>
          <a:endParaRPr lang="en-GB" sz="1100" b="1"/>
        </a:p>
      </xdr:txBody>
    </xdr:sp>
    <xdr:clientData/>
  </xdr:twoCellAnchor>
  <xdr:twoCellAnchor>
    <xdr:from>
      <xdr:col>3</xdr:col>
      <xdr:colOff>171450</xdr:colOff>
      <xdr:row>262</xdr:row>
      <xdr:rowOff>38100</xdr:rowOff>
    </xdr:from>
    <xdr:to>
      <xdr:col>6</xdr:col>
      <xdr:colOff>304800</xdr:colOff>
      <xdr:row>263</xdr:row>
      <xdr:rowOff>152400</xdr:rowOff>
    </xdr:to>
    <xdr:sp macro="" textlink="">
      <xdr:nvSpPr>
        <xdr:cNvPr id="13" name="TextBox 12">
          <a:extLst>
            <a:ext uri="{FF2B5EF4-FFF2-40B4-BE49-F238E27FC236}">
              <a16:creationId xmlns:a16="http://schemas.microsoft.com/office/drawing/2014/main" id="{D6FBD2D9-CA08-4B6F-BC32-27F6DA7849B1}"/>
            </a:ext>
          </a:extLst>
        </xdr:cNvPr>
        <xdr:cNvSpPr txBox="1"/>
      </xdr:nvSpPr>
      <xdr:spPr>
        <a:xfrm>
          <a:off x="2000250" y="419100"/>
          <a:ext cx="1962150" cy="3048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regression analysis</a:t>
          </a:r>
          <a:r>
            <a:rPr lang="en-GB" sz="1100" b="1" baseline="0"/>
            <a:t> of LGD</a:t>
          </a:r>
          <a:endParaRPr lang="en-GB" sz="1100" b="1"/>
        </a:p>
      </xdr:txBody>
    </xdr:sp>
    <xdr:clientData/>
  </xdr:twoCellAnchor>
  <xdr:twoCellAnchor>
    <xdr:from>
      <xdr:col>3</xdr:col>
      <xdr:colOff>171450</xdr:colOff>
      <xdr:row>288</xdr:row>
      <xdr:rowOff>38100</xdr:rowOff>
    </xdr:from>
    <xdr:to>
      <xdr:col>6</xdr:col>
      <xdr:colOff>304800</xdr:colOff>
      <xdr:row>289</xdr:row>
      <xdr:rowOff>152400</xdr:rowOff>
    </xdr:to>
    <xdr:sp macro="" textlink="">
      <xdr:nvSpPr>
        <xdr:cNvPr id="14" name="TextBox 13">
          <a:extLst>
            <a:ext uri="{FF2B5EF4-FFF2-40B4-BE49-F238E27FC236}">
              <a16:creationId xmlns:a16="http://schemas.microsoft.com/office/drawing/2014/main" id="{735AF6F0-4B4E-4AE9-975A-3F6C44B1CB2A}"/>
            </a:ext>
          </a:extLst>
        </xdr:cNvPr>
        <xdr:cNvSpPr txBox="1"/>
      </xdr:nvSpPr>
      <xdr:spPr>
        <a:xfrm>
          <a:off x="2000250" y="419100"/>
          <a:ext cx="1962150" cy="3048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regression analysis</a:t>
          </a:r>
          <a:r>
            <a:rPr lang="en-GB" sz="1100" b="1" baseline="0"/>
            <a:t> of LGD</a:t>
          </a:r>
          <a:endParaRPr lang="en-GB" sz="1100" b="1"/>
        </a:p>
      </xdr:txBody>
    </xdr:sp>
    <xdr:clientData/>
  </xdr:twoCellAnchor>
  <xdr:twoCellAnchor>
    <xdr:from>
      <xdr:col>8</xdr:col>
      <xdr:colOff>142875</xdr:colOff>
      <xdr:row>6</xdr:row>
      <xdr:rowOff>95251</xdr:rowOff>
    </xdr:from>
    <xdr:to>
      <xdr:col>14</xdr:col>
      <xdr:colOff>114300</xdr:colOff>
      <xdr:row>20</xdr:row>
      <xdr:rowOff>114301</xdr:rowOff>
    </xdr:to>
    <xdr:sp macro="" textlink="">
      <xdr:nvSpPr>
        <xdr:cNvPr id="15" name="TextBox 14">
          <a:extLst>
            <a:ext uri="{FF2B5EF4-FFF2-40B4-BE49-F238E27FC236}">
              <a16:creationId xmlns:a16="http://schemas.microsoft.com/office/drawing/2014/main" id="{6827E637-6872-486C-A867-7CB126324E1B}"/>
            </a:ext>
          </a:extLst>
        </xdr:cNvPr>
        <xdr:cNvSpPr txBox="1"/>
      </xdr:nvSpPr>
      <xdr:spPr>
        <a:xfrm>
          <a:off x="5019675" y="1238251"/>
          <a:ext cx="3819525" cy="268605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we use the user-defined CLINEST function here. CLINEST(y's,x's,cluster): a set of observations with correlated</a:t>
          </a:r>
          <a:r>
            <a:rPr lang="en-GB" sz="1100" baseline="0"/>
            <a:t> errors is called cluster.  this function implements an estimator of the coefficients standard errors that is robust to correlation within clusters. </a:t>
          </a:r>
        </a:p>
        <a:p>
          <a:endParaRPr lang="en-GB" sz="1100" baseline="0"/>
        </a:p>
        <a:p>
          <a:r>
            <a:rPr lang="en-GB" sz="1100"/>
            <a:t>in this example, estimated</a:t>
          </a:r>
          <a:r>
            <a:rPr lang="en-GB" sz="1100" baseline="0"/>
            <a:t> coefficients conform the expectations. The LGD increases with increasing leverage. The historical LGD average helps explain the observed LGDs; higher default rates in the year prior to default lead to higher LGD's. </a:t>
          </a:r>
        </a:p>
        <a:p>
          <a:r>
            <a:rPr lang="en-GB" sz="1100" baseline="0"/>
            <a:t>The slope coefficients are all significant on a level better than 5% becasue theit t-statistics are all greater than 1.96. if we did not find other useful predictive variables we could therefore base our predictions on the estimated model. </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95250</xdr:colOff>
      <xdr:row>11</xdr:row>
      <xdr:rowOff>57150</xdr:rowOff>
    </xdr:from>
    <xdr:to>
      <xdr:col>27</xdr:col>
      <xdr:colOff>533400</xdr:colOff>
      <xdr:row>35</xdr:row>
      <xdr:rowOff>171450</xdr:rowOff>
    </xdr:to>
    <xdr:sp macro="" textlink="">
      <xdr:nvSpPr>
        <xdr:cNvPr id="2" name="TextBox 1">
          <a:extLst>
            <a:ext uri="{FF2B5EF4-FFF2-40B4-BE49-F238E27FC236}">
              <a16:creationId xmlns:a16="http://schemas.microsoft.com/office/drawing/2014/main" id="{FC41CAF4-8479-49EB-B432-64186ABF9AA3}"/>
            </a:ext>
          </a:extLst>
        </xdr:cNvPr>
        <xdr:cNvSpPr txBox="1"/>
      </xdr:nvSpPr>
      <xdr:spPr>
        <a:xfrm>
          <a:off x="11068050" y="2152650"/>
          <a:ext cx="5924550" cy="468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possible drawback of using OLS for LGD prediction is that OLS predictions can take</a:t>
          </a:r>
          <a:r>
            <a:rPr lang="en-GB" sz="1100" baseline="0"/>
            <a:t> values smaller than 0 or larger than 1. This does not mean OLS is inappropriate. Depending on how LGD is defined , LGD values need not be restricted to the interval [0,1]. For example is LGD is based on a comparison of the post-default bond price with bond's face value , LGD can be samller than 0 because bonds can trade at prices above the face value. </a:t>
          </a:r>
        </a:p>
        <a:p>
          <a:endParaRPr lang="en-GB" sz="1100" baseline="0"/>
        </a:p>
        <a:p>
          <a:r>
            <a:rPr lang="en-GB" sz="1100" baseline="0"/>
            <a:t>It is worthy to examine the distribution of LGD. the idea is to transform the dependent variable LGD so that we can expect it to be normally distributed. then we run a regression on the transformed variable and derive predictions. in the final step these predictions are re-transformed so that they again conform to the actual LGD distribution. </a:t>
          </a:r>
        </a:p>
        <a:p>
          <a:endParaRPr lang="en-GB" sz="1100" baseline="0"/>
        </a:p>
        <a:p>
          <a:r>
            <a:rPr lang="en-GB" sz="1100" baseline="0"/>
            <a:t>the BETA distribution is often used to identify  probability distribution that is able to describe the observed empirical distribution of LGD. it is a two-parameter distribution bouded between 0 and 1. </a:t>
          </a:r>
        </a:p>
        <a:p>
          <a:endParaRPr lang="en-GB" sz="1100" baseline="0"/>
        </a:p>
        <a:p>
          <a:r>
            <a:rPr lang="en-GB" sz="1100" baseline="0"/>
            <a:t>the logic is appliying the distribution function to a set of observations , we create a variable that is uniformly distributed on the unit interval, by appliying the inverse of a distribution function to a variable that is uniformly distributed on the unit interval, we create a variable that follows the choosen distribution function.  </a:t>
          </a:r>
          <a:endParaRPr lang="en-GB" sz="1100"/>
        </a:p>
      </xdr:txBody>
    </xdr:sp>
    <xdr:clientData/>
  </xdr:twoCellAnchor>
  <xdr:twoCellAnchor>
    <xdr:from>
      <xdr:col>16</xdr:col>
      <xdr:colOff>133351</xdr:colOff>
      <xdr:row>1</xdr:row>
      <xdr:rowOff>95251</xdr:rowOff>
    </xdr:from>
    <xdr:to>
      <xdr:col>25</xdr:col>
      <xdr:colOff>323851</xdr:colOff>
      <xdr:row>8</xdr:row>
      <xdr:rowOff>133351</xdr:rowOff>
    </xdr:to>
    <xdr:sp macro="" textlink="">
      <xdr:nvSpPr>
        <xdr:cNvPr id="3" name="TextBox 2">
          <a:extLst>
            <a:ext uri="{FF2B5EF4-FFF2-40B4-BE49-F238E27FC236}">
              <a16:creationId xmlns:a16="http://schemas.microsoft.com/office/drawing/2014/main" id="{0154887F-7FD3-4CA9-B642-728C6EE32D1F}"/>
            </a:ext>
          </a:extLst>
        </xdr:cNvPr>
        <xdr:cNvSpPr txBox="1"/>
      </xdr:nvSpPr>
      <xdr:spPr>
        <a:xfrm>
          <a:off x="9886951" y="285751"/>
          <a:ext cx="5676900" cy="1371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in the linear regression that is performed in the range K2:N4, the transformed LGD values serve as dependent variable. we use the same explanatory LGD values as before. the signs of the slope coefficients have</a:t>
          </a:r>
          <a:r>
            <a:rPr lang="en-GB" sz="1100" baseline="0"/>
            <a:t> not changed. , their t-statistics show only moderate changes. Importantly, we can not directly compare the size of the coefficients to those of the regression from the previous model (ie. not transformed). Through the transformation , the dependent variable is more dispersed than before , which explains the larger size of the coefficients. To compare the regression results we would examine predictions.   </a:t>
          </a:r>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200025</xdr:colOff>
      <xdr:row>5</xdr:row>
      <xdr:rowOff>161925</xdr:rowOff>
    </xdr:from>
    <xdr:to>
      <xdr:col>25</xdr:col>
      <xdr:colOff>409575</xdr:colOff>
      <xdr:row>25</xdr:row>
      <xdr:rowOff>142875</xdr:rowOff>
    </xdr:to>
    <xdr:sp macro="" textlink="">
      <xdr:nvSpPr>
        <xdr:cNvPr id="2" name="TextBox 1">
          <a:extLst>
            <a:ext uri="{FF2B5EF4-FFF2-40B4-BE49-F238E27FC236}">
              <a16:creationId xmlns:a16="http://schemas.microsoft.com/office/drawing/2014/main" id="{CD773D49-F1A8-41D9-8DC6-4D7DB2CB0DDA}"/>
            </a:ext>
          </a:extLst>
        </xdr:cNvPr>
        <xdr:cNvSpPr txBox="1"/>
      </xdr:nvSpPr>
      <xdr:spPr>
        <a:xfrm>
          <a:off x="8124825" y="1114425"/>
          <a:ext cx="6305550"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to derive predictions from a linear regression , we use the function TREND</a:t>
          </a:r>
        </a:p>
        <a:p>
          <a:endParaRPr lang="en-GB" sz="1100"/>
        </a:p>
        <a:p>
          <a:r>
            <a:rPr lang="en-GB" sz="1100"/>
            <a:t>=TREND(known_y's, known_x's, new_x's, const)</a:t>
          </a:r>
        </a:p>
        <a:p>
          <a:endParaRPr lang="en-GB" sz="1100"/>
        </a:p>
        <a:p>
          <a:r>
            <a:rPr lang="en-GB" sz="1100"/>
            <a:t>if we</a:t>
          </a:r>
          <a:r>
            <a:rPr lang="en-GB" sz="1100" baseline="0"/>
            <a:t> set the logical value const to 1 or if we do not specify it, the regression underlying TREND() will include a constant. </a:t>
          </a:r>
        </a:p>
        <a:p>
          <a:endParaRPr lang="en-GB" sz="1100" baseline="0"/>
        </a:p>
        <a:p>
          <a:r>
            <a:rPr lang="en-GB" sz="1100" baseline="0"/>
            <a:t>To derive appropriate predictions for the model with beta-transformed LGDs, we need to transform them back to LGD space. </a:t>
          </a:r>
        </a:p>
        <a:p>
          <a:endParaRPr lang="en-GB" sz="1100" baseline="0"/>
        </a:p>
        <a:p>
          <a:r>
            <a:rPr lang="en-GB" sz="1100" baseline="0"/>
            <a:t>=BETAINV(NORMSDIST(TREND(transformed LGD, </a:t>
          </a:r>
          <a:r>
            <a:rPr lang="en-GB" sz="1100">
              <a:solidFill>
                <a:schemeClr val="dk1"/>
              </a:solidFill>
              <a:effectLst/>
              <a:latin typeface="+mn-lt"/>
              <a:ea typeface="+mn-ea"/>
              <a:cs typeface="+mn-cs"/>
            </a:rPr>
            <a:t>known_y's, known_x's, new_x's, const)), 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to assess the quality of the prediction model, it is advised to check how predictions performed out-of-sample.</a:t>
          </a:r>
          <a:r>
            <a:rPr lang="en-GB" sz="1100" baseline="0">
              <a:solidFill>
                <a:schemeClr val="dk1"/>
              </a:solidFill>
              <a:effectLst/>
              <a:latin typeface="+mn-lt"/>
              <a:ea typeface="+mn-ea"/>
              <a:cs typeface="+mn-cs"/>
            </a:rPr>
            <a:t> so we use the following user defined function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=OOSTREND(</a:t>
          </a:r>
          <a:r>
            <a:rPr lang="en-GB" sz="1100">
              <a:solidFill>
                <a:schemeClr val="dk1"/>
              </a:solidFill>
              <a:effectLst/>
              <a:latin typeface="+mn-lt"/>
              <a:ea typeface="+mn-ea"/>
              <a:cs typeface="+mn-cs"/>
            </a:rPr>
            <a:t>known_y's, known_x's, new_x's, year, startyear)</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first 3 arguments are the same as in Excel's TREND function, "year" is a range that contains the observation dates, "startyear" is the first date for</a:t>
          </a:r>
          <a:r>
            <a:rPr lang="en-GB" sz="1100" baseline="0">
              <a:solidFill>
                <a:schemeClr val="dk1"/>
              </a:solidFill>
              <a:effectLst/>
              <a:latin typeface="+mn-lt"/>
              <a:ea typeface="+mn-ea"/>
              <a:cs typeface="+mn-cs"/>
            </a:rPr>
            <a:t> which an out-of sample prediction is made, i.e. we run a regression with data from before startyear, and then use the estimated coefficients from this regression together with the new predictions "new_x's" to generate a prediction. </a:t>
          </a:r>
          <a:endParaRPr lang="en-GB" sz="1100"/>
        </a:p>
      </xdr:txBody>
    </xdr:sp>
    <xdr:clientData/>
  </xdr:twoCellAnchor>
  <xdr:twoCellAnchor>
    <xdr:from>
      <xdr:col>16</xdr:col>
      <xdr:colOff>161926</xdr:colOff>
      <xdr:row>3</xdr:row>
      <xdr:rowOff>38101</xdr:rowOff>
    </xdr:from>
    <xdr:to>
      <xdr:col>24</xdr:col>
      <xdr:colOff>371476</xdr:colOff>
      <xdr:row>4</xdr:row>
      <xdr:rowOff>171451</xdr:rowOff>
    </xdr:to>
    <xdr:sp macro="" textlink="">
      <xdr:nvSpPr>
        <xdr:cNvPr id="3" name="TextBox 2">
          <a:extLst>
            <a:ext uri="{FF2B5EF4-FFF2-40B4-BE49-F238E27FC236}">
              <a16:creationId xmlns:a16="http://schemas.microsoft.com/office/drawing/2014/main" id="{4D8F29DE-A55D-43CA-A246-36884BB12E3A}"/>
            </a:ext>
          </a:extLst>
        </xdr:cNvPr>
        <xdr:cNvSpPr txBox="1"/>
      </xdr:nvSpPr>
      <xdr:spPr>
        <a:xfrm>
          <a:off x="8696326" y="609601"/>
          <a:ext cx="5086350" cy="323850"/>
        </a:xfrm>
        <a:prstGeom prst="rect">
          <a:avLst/>
        </a:prstGeom>
        <a:solidFill>
          <a:schemeClr val="accent4">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Out-of sample forecasts for standard regression and regression with transformed LGD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318"/>
  <sheetViews>
    <sheetView tabSelected="1" workbookViewId="0">
      <selection activeCell="H1" sqref="H1"/>
    </sheetView>
  </sheetViews>
  <sheetFormatPr defaultRowHeight="15" x14ac:dyDescent="0.25"/>
  <sheetData>
    <row r="1" spans="1:13" x14ac:dyDescent="0.25">
      <c r="A1" s="1" t="s">
        <v>0</v>
      </c>
      <c r="B1" s="1" t="s">
        <v>1</v>
      </c>
      <c r="C1" s="1" t="s">
        <v>2</v>
      </c>
      <c r="D1" s="1" t="s">
        <v>3</v>
      </c>
      <c r="E1" s="1" t="s">
        <v>4</v>
      </c>
      <c r="F1" s="1" t="s">
        <v>5</v>
      </c>
      <c r="G1" s="4" t="s">
        <v>19</v>
      </c>
      <c r="H1" s="4" t="s">
        <v>20</v>
      </c>
      <c r="J1" s="4" t="s">
        <v>17</v>
      </c>
    </row>
    <row r="2" spans="1:13" x14ac:dyDescent="0.25">
      <c r="A2">
        <v>2007</v>
      </c>
      <c r="B2" s="7">
        <v>1</v>
      </c>
      <c r="C2" s="7" t="s">
        <v>6</v>
      </c>
      <c r="D2" s="7" t="s">
        <v>7</v>
      </c>
      <c r="E2" s="3">
        <v>0.74757345077395443</v>
      </c>
      <c r="F2" s="3">
        <v>0.4139897858986048</v>
      </c>
      <c r="G2">
        <f>VLOOKUP(D2,J$3:M$6,A2-2005,0)</f>
        <v>0.62609999999999999</v>
      </c>
      <c r="H2">
        <f>VLOOKUP(C2,J$10:M$16,A2-2005,0)</f>
        <v>1.415</v>
      </c>
      <c r="K2">
        <v>2006</v>
      </c>
      <c r="L2">
        <v>2007</v>
      </c>
      <c r="M2">
        <v>2008</v>
      </c>
    </row>
    <row r="3" spans="1:13" x14ac:dyDescent="0.25">
      <c r="A3">
        <v>2007</v>
      </c>
      <c r="B3" s="7">
        <v>1</v>
      </c>
      <c r="C3" s="7" t="s">
        <v>6</v>
      </c>
      <c r="D3" s="7" t="s">
        <v>8</v>
      </c>
      <c r="E3" s="3">
        <v>0.99</v>
      </c>
      <c r="F3" s="3">
        <v>0.4139897858986048</v>
      </c>
      <c r="G3">
        <f t="shared" ref="G3:G66" si="0">VLOOKUP(D3,J$3:M$6,A3-2005,0)</f>
        <v>0.68489999999999995</v>
      </c>
      <c r="H3">
        <f t="shared" ref="H3:H66" si="1">VLOOKUP(C3,J$10:M$16,A3-2005,0)</f>
        <v>1.415</v>
      </c>
      <c r="J3" t="s">
        <v>10</v>
      </c>
      <c r="K3" s="5">
        <v>0.45660000000000001</v>
      </c>
      <c r="L3" s="5">
        <v>0.48199999999999998</v>
      </c>
      <c r="M3" s="5">
        <v>0.36450000000000005</v>
      </c>
    </row>
    <row r="4" spans="1:13" x14ac:dyDescent="0.25">
      <c r="A4">
        <v>2007</v>
      </c>
      <c r="B4">
        <v>2</v>
      </c>
      <c r="C4" t="s">
        <v>9</v>
      </c>
      <c r="D4" t="s">
        <v>10</v>
      </c>
      <c r="E4" s="3">
        <v>6.5810750338203716E-2</v>
      </c>
      <c r="F4" s="3">
        <v>0.23036114242977343</v>
      </c>
      <c r="G4">
        <f t="shared" si="0"/>
        <v>0.45660000000000001</v>
      </c>
      <c r="H4">
        <f t="shared" si="1"/>
        <v>1.1830000000000001</v>
      </c>
      <c r="J4" t="s">
        <v>7</v>
      </c>
      <c r="K4" s="5">
        <v>0.62609999999999999</v>
      </c>
      <c r="L4" s="5">
        <v>0.63600000000000001</v>
      </c>
      <c r="M4" s="5">
        <v>0.53820000000000001</v>
      </c>
    </row>
    <row r="5" spans="1:13" x14ac:dyDescent="0.25">
      <c r="A5">
        <v>2007</v>
      </c>
      <c r="B5">
        <v>3</v>
      </c>
      <c r="C5" t="s">
        <v>11</v>
      </c>
      <c r="D5" t="s">
        <v>7</v>
      </c>
      <c r="E5" s="3">
        <v>0.35128799169906799</v>
      </c>
      <c r="F5" s="3">
        <v>0.54133930867264546</v>
      </c>
      <c r="G5">
        <f t="shared" si="0"/>
        <v>0.62609999999999999</v>
      </c>
      <c r="H5">
        <f t="shared" si="1"/>
        <v>2.3530000000000002</v>
      </c>
      <c r="J5" t="s">
        <v>13</v>
      </c>
      <c r="K5" s="5">
        <v>0.67149999999999999</v>
      </c>
      <c r="L5" s="5">
        <v>0.68120000000000003</v>
      </c>
      <c r="M5" s="5">
        <v>0.70330000000000004</v>
      </c>
    </row>
    <row r="6" spans="1:13" x14ac:dyDescent="0.25">
      <c r="A6">
        <v>2007</v>
      </c>
      <c r="B6">
        <v>3</v>
      </c>
      <c r="C6" t="s">
        <v>11</v>
      </c>
      <c r="D6" t="s">
        <v>10</v>
      </c>
      <c r="E6" s="3">
        <v>0.25844920997567156</v>
      </c>
      <c r="F6" s="3">
        <v>0.54133930867264546</v>
      </c>
      <c r="G6">
        <f t="shared" si="0"/>
        <v>0.45660000000000001</v>
      </c>
      <c r="H6">
        <f t="shared" si="1"/>
        <v>2.3530000000000002</v>
      </c>
      <c r="J6" t="s">
        <v>8</v>
      </c>
      <c r="K6" s="5">
        <v>0.68489999999999995</v>
      </c>
      <c r="L6" s="5">
        <v>0.71120000000000005</v>
      </c>
      <c r="M6" s="5">
        <v>0.71150000000000002</v>
      </c>
    </row>
    <row r="7" spans="1:13" x14ac:dyDescent="0.25">
      <c r="A7">
        <v>2007</v>
      </c>
      <c r="B7">
        <v>4</v>
      </c>
      <c r="C7" t="s">
        <v>12</v>
      </c>
      <c r="D7" t="s">
        <v>13</v>
      </c>
      <c r="E7" s="3">
        <v>1.9680090408217832E-2</v>
      </c>
      <c r="F7" s="3">
        <v>0.81200000000000006</v>
      </c>
      <c r="G7">
        <f t="shared" si="0"/>
        <v>0.67149999999999999</v>
      </c>
      <c r="H7">
        <f t="shared" si="1"/>
        <v>0.74299999999999999</v>
      </c>
    </row>
    <row r="8" spans="1:13" x14ac:dyDescent="0.25">
      <c r="A8">
        <v>2007</v>
      </c>
      <c r="B8">
        <v>6</v>
      </c>
      <c r="C8" t="s">
        <v>11</v>
      </c>
      <c r="D8" t="s">
        <v>13</v>
      </c>
      <c r="E8" s="3">
        <v>0.93103551289458553</v>
      </c>
      <c r="F8" s="3">
        <v>0.54673222886580675</v>
      </c>
      <c r="G8">
        <f t="shared" si="0"/>
        <v>0.67149999999999999</v>
      </c>
      <c r="H8">
        <f t="shared" si="1"/>
        <v>2.3530000000000002</v>
      </c>
      <c r="J8" s="4" t="s">
        <v>18</v>
      </c>
      <c r="M8" s="6"/>
    </row>
    <row r="9" spans="1:13" x14ac:dyDescent="0.25">
      <c r="A9">
        <v>2007</v>
      </c>
      <c r="B9">
        <v>7</v>
      </c>
      <c r="C9" t="s">
        <v>9</v>
      </c>
      <c r="D9" t="s">
        <v>13</v>
      </c>
      <c r="E9" s="3">
        <v>0.34125492454895112</v>
      </c>
      <c r="F9" s="3">
        <v>0.71</v>
      </c>
      <c r="G9">
        <f t="shared" si="0"/>
        <v>0.67149999999999999</v>
      </c>
      <c r="H9">
        <f t="shared" si="1"/>
        <v>1.1830000000000001</v>
      </c>
      <c r="K9">
        <v>2006</v>
      </c>
      <c r="L9">
        <v>2007</v>
      </c>
      <c r="M9">
        <v>2008</v>
      </c>
    </row>
    <row r="10" spans="1:13" x14ac:dyDescent="0.25">
      <c r="A10">
        <v>2007</v>
      </c>
      <c r="B10">
        <v>8</v>
      </c>
      <c r="C10" t="s">
        <v>11</v>
      </c>
      <c r="D10" t="s">
        <v>13</v>
      </c>
      <c r="E10" s="3">
        <v>0.35075455977469705</v>
      </c>
      <c r="F10" s="3">
        <v>0.85533936081795725</v>
      </c>
      <c r="G10">
        <f t="shared" si="0"/>
        <v>0.67149999999999999</v>
      </c>
      <c r="H10">
        <f t="shared" si="1"/>
        <v>2.3530000000000002</v>
      </c>
      <c r="J10" t="s">
        <v>16</v>
      </c>
      <c r="K10">
        <v>1.2849999999999999</v>
      </c>
      <c r="L10">
        <v>0.71499999999999997</v>
      </c>
      <c r="M10">
        <v>3.0710000000000002</v>
      </c>
    </row>
    <row r="11" spans="1:13" x14ac:dyDescent="0.25">
      <c r="A11">
        <v>2007</v>
      </c>
      <c r="B11">
        <v>9</v>
      </c>
      <c r="C11" t="s">
        <v>12</v>
      </c>
      <c r="D11" t="s">
        <v>7</v>
      </c>
      <c r="E11" s="3">
        <v>4.5826764176957413E-2</v>
      </c>
      <c r="F11" s="3">
        <v>0.31398323653338439</v>
      </c>
      <c r="G11">
        <f t="shared" si="0"/>
        <v>0.62609999999999999</v>
      </c>
      <c r="H11">
        <f t="shared" si="1"/>
        <v>0.74299999999999999</v>
      </c>
      <c r="J11" t="s">
        <v>15</v>
      </c>
      <c r="K11">
        <v>0.96699999999999997</v>
      </c>
      <c r="L11">
        <v>0.65100000000000002</v>
      </c>
      <c r="M11">
        <v>3.7829999999999999</v>
      </c>
    </row>
    <row r="12" spans="1:13" x14ac:dyDescent="0.25">
      <c r="A12">
        <v>2007</v>
      </c>
      <c r="B12">
        <v>10</v>
      </c>
      <c r="C12" t="s">
        <v>14</v>
      </c>
      <c r="D12" t="s">
        <v>10</v>
      </c>
      <c r="E12" s="3">
        <v>2.5754192763850048E-2</v>
      </c>
      <c r="F12" s="3">
        <v>0.1906482365410154</v>
      </c>
      <c r="G12">
        <f t="shared" si="0"/>
        <v>0.45660000000000001</v>
      </c>
      <c r="H12">
        <f t="shared" si="1"/>
        <v>0</v>
      </c>
      <c r="J12" t="s">
        <v>14</v>
      </c>
      <c r="K12">
        <v>0</v>
      </c>
      <c r="L12">
        <v>0</v>
      </c>
      <c r="M12">
        <v>1.835</v>
      </c>
    </row>
    <row r="13" spans="1:13" x14ac:dyDescent="0.25">
      <c r="A13">
        <v>2007</v>
      </c>
      <c r="B13">
        <v>11</v>
      </c>
      <c r="C13" t="s">
        <v>11</v>
      </c>
      <c r="D13" t="s">
        <v>7</v>
      </c>
      <c r="E13" s="3">
        <v>0.75973256755290175</v>
      </c>
      <c r="F13" s="3">
        <v>0.49095375606826613</v>
      </c>
      <c r="G13">
        <f t="shared" si="0"/>
        <v>0.62609999999999999</v>
      </c>
      <c r="H13">
        <f t="shared" si="1"/>
        <v>2.3530000000000002</v>
      </c>
      <c r="J13" t="s">
        <v>6</v>
      </c>
      <c r="K13">
        <v>1.415</v>
      </c>
      <c r="L13">
        <v>0.92</v>
      </c>
      <c r="M13">
        <v>4.1470000000000002</v>
      </c>
    </row>
    <row r="14" spans="1:13" x14ac:dyDescent="0.25">
      <c r="A14">
        <v>2007</v>
      </c>
      <c r="B14">
        <v>12</v>
      </c>
      <c r="C14" t="s">
        <v>6</v>
      </c>
      <c r="D14" t="s">
        <v>7</v>
      </c>
      <c r="E14" s="3">
        <v>0.75798999853079407</v>
      </c>
      <c r="F14" s="3">
        <v>0.91078875873769793</v>
      </c>
      <c r="G14">
        <f t="shared" si="0"/>
        <v>0.62609999999999999</v>
      </c>
      <c r="H14">
        <f t="shared" si="1"/>
        <v>1.415</v>
      </c>
      <c r="J14" t="s">
        <v>9</v>
      </c>
      <c r="K14">
        <v>1.1830000000000001</v>
      </c>
      <c r="L14">
        <v>1.802</v>
      </c>
      <c r="M14">
        <v>2.2469999999999999</v>
      </c>
    </row>
    <row r="15" spans="1:13" x14ac:dyDescent="0.25">
      <c r="A15">
        <v>2007</v>
      </c>
      <c r="B15">
        <v>13</v>
      </c>
      <c r="C15" t="s">
        <v>9</v>
      </c>
      <c r="D15" t="s">
        <v>7</v>
      </c>
      <c r="E15" s="3">
        <v>0.6</v>
      </c>
      <c r="F15" s="3">
        <v>0.33607151817437908</v>
      </c>
      <c r="G15">
        <f t="shared" si="0"/>
        <v>0.62609999999999999</v>
      </c>
      <c r="H15">
        <f t="shared" si="1"/>
        <v>1.1830000000000001</v>
      </c>
      <c r="J15" t="s">
        <v>12</v>
      </c>
      <c r="K15">
        <v>0.74299999999999999</v>
      </c>
      <c r="L15">
        <v>0.48599999999999999</v>
      </c>
      <c r="M15">
        <v>1.1639999999999999</v>
      </c>
    </row>
    <row r="16" spans="1:13" x14ac:dyDescent="0.25">
      <c r="A16">
        <v>2007</v>
      </c>
      <c r="B16">
        <v>14</v>
      </c>
      <c r="C16" t="s">
        <v>15</v>
      </c>
      <c r="D16" t="s">
        <v>10</v>
      </c>
      <c r="E16" s="3">
        <v>0.37448025577302113</v>
      </c>
      <c r="F16" s="3">
        <v>0.41486237404570397</v>
      </c>
      <c r="G16">
        <f t="shared" si="0"/>
        <v>0.45660000000000001</v>
      </c>
      <c r="H16">
        <f t="shared" si="1"/>
        <v>0.96699999999999997</v>
      </c>
      <c r="J16" t="s">
        <v>11</v>
      </c>
      <c r="K16">
        <v>2.3530000000000002</v>
      </c>
      <c r="L16">
        <v>0</v>
      </c>
      <c r="M16">
        <v>2.9630000000000001</v>
      </c>
    </row>
    <row r="17" spans="1:8" x14ac:dyDescent="0.25">
      <c r="A17">
        <v>2007</v>
      </c>
      <c r="B17">
        <v>15</v>
      </c>
      <c r="C17" t="s">
        <v>9</v>
      </c>
      <c r="D17" t="s">
        <v>7</v>
      </c>
      <c r="E17" s="3">
        <v>0.16872640728709642</v>
      </c>
      <c r="F17" s="3">
        <v>0.61206399494771813</v>
      </c>
      <c r="G17">
        <f t="shared" si="0"/>
        <v>0.62609999999999999</v>
      </c>
      <c r="H17">
        <f t="shared" si="1"/>
        <v>1.1830000000000001</v>
      </c>
    </row>
    <row r="18" spans="1:8" x14ac:dyDescent="0.25">
      <c r="A18">
        <v>2007</v>
      </c>
      <c r="B18">
        <v>16</v>
      </c>
      <c r="C18" t="s">
        <v>11</v>
      </c>
      <c r="D18" t="s">
        <v>7</v>
      </c>
      <c r="E18" s="3">
        <v>0.28390964250291317</v>
      </c>
      <c r="F18" s="3">
        <v>0.69392871672528511</v>
      </c>
      <c r="G18">
        <f t="shared" si="0"/>
        <v>0.62609999999999999</v>
      </c>
      <c r="H18">
        <f t="shared" si="1"/>
        <v>2.3530000000000002</v>
      </c>
    </row>
    <row r="19" spans="1:8" x14ac:dyDescent="0.25">
      <c r="A19">
        <v>2007</v>
      </c>
      <c r="B19">
        <v>17</v>
      </c>
      <c r="C19" t="s">
        <v>6</v>
      </c>
      <c r="D19" t="s">
        <v>7</v>
      </c>
      <c r="E19" s="3">
        <v>0.74701838219018102</v>
      </c>
      <c r="F19" s="3">
        <v>0.93707243124105388</v>
      </c>
      <c r="G19">
        <f t="shared" si="0"/>
        <v>0.62609999999999999</v>
      </c>
      <c r="H19">
        <f t="shared" si="1"/>
        <v>1.415</v>
      </c>
    </row>
    <row r="20" spans="1:8" x14ac:dyDescent="0.25">
      <c r="A20">
        <v>2007</v>
      </c>
      <c r="B20">
        <v>21</v>
      </c>
      <c r="C20" t="s">
        <v>11</v>
      </c>
      <c r="D20" t="s">
        <v>13</v>
      </c>
      <c r="E20" s="3">
        <v>0.68630005856286913</v>
      </c>
      <c r="F20" s="3">
        <v>0.80116253214876176</v>
      </c>
      <c r="G20">
        <f t="shared" si="0"/>
        <v>0.67149999999999999</v>
      </c>
      <c r="H20">
        <f t="shared" si="1"/>
        <v>2.3530000000000002</v>
      </c>
    </row>
    <row r="21" spans="1:8" x14ac:dyDescent="0.25">
      <c r="A21">
        <v>2007</v>
      </c>
      <c r="B21">
        <v>22</v>
      </c>
      <c r="C21" t="s">
        <v>14</v>
      </c>
      <c r="D21" t="s">
        <v>10</v>
      </c>
      <c r="E21" s="3">
        <v>5.0051313017193122E-2</v>
      </c>
      <c r="F21" s="3">
        <v>0.36572506640451663</v>
      </c>
      <c r="G21">
        <f t="shared" si="0"/>
        <v>0.45660000000000001</v>
      </c>
      <c r="H21">
        <f t="shared" si="1"/>
        <v>0</v>
      </c>
    </row>
    <row r="22" spans="1:8" x14ac:dyDescent="0.25">
      <c r="A22">
        <v>2007</v>
      </c>
      <c r="B22">
        <v>23</v>
      </c>
      <c r="C22" t="s">
        <v>9</v>
      </c>
      <c r="D22" t="s">
        <v>13</v>
      </c>
      <c r="E22" s="3">
        <v>0.66432001241815719</v>
      </c>
      <c r="F22" s="3">
        <v>0.17701373287072394</v>
      </c>
      <c r="G22">
        <f t="shared" si="0"/>
        <v>0.67149999999999999</v>
      </c>
      <c r="H22">
        <f t="shared" si="1"/>
        <v>1.1830000000000001</v>
      </c>
    </row>
    <row r="23" spans="1:8" x14ac:dyDescent="0.25">
      <c r="A23">
        <v>2007</v>
      </c>
      <c r="B23">
        <v>24</v>
      </c>
      <c r="C23" t="s">
        <v>11</v>
      </c>
      <c r="D23" t="s">
        <v>7</v>
      </c>
      <c r="E23" s="3">
        <v>0.85190258447703004</v>
      </c>
      <c r="F23" s="3">
        <v>0.33394424853074578</v>
      </c>
      <c r="G23">
        <f t="shared" si="0"/>
        <v>0.62609999999999999</v>
      </c>
      <c r="H23">
        <f t="shared" si="1"/>
        <v>2.3530000000000002</v>
      </c>
    </row>
    <row r="24" spans="1:8" x14ac:dyDescent="0.25">
      <c r="A24">
        <v>2007</v>
      </c>
      <c r="B24">
        <v>27</v>
      </c>
      <c r="C24" t="s">
        <v>11</v>
      </c>
      <c r="D24" t="s">
        <v>13</v>
      </c>
      <c r="E24" s="3">
        <v>0.19120147072388038</v>
      </c>
      <c r="F24" s="3">
        <v>0.16671028481622882</v>
      </c>
      <c r="G24">
        <f t="shared" si="0"/>
        <v>0.67149999999999999</v>
      </c>
      <c r="H24">
        <f t="shared" si="1"/>
        <v>2.3530000000000002</v>
      </c>
    </row>
    <row r="25" spans="1:8" x14ac:dyDescent="0.25">
      <c r="A25">
        <v>2007</v>
      </c>
      <c r="B25">
        <v>28</v>
      </c>
      <c r="C25" t="s">
        <v>12</v>
      </c>
      <c r="D25" t="s">
        <v>13</v>
      </c>
      <c r="E25" s="3">
        <v>0.17837152154660729</v>
      </c>
      <c r="F25" s="3">
        <v>0.30851428864655656</v>
      </c>
      <c r="G25">
        <f t="shared" si="0"/>
        <v>0.67149999999999999</v>
      </c>
      <c r="H25">
        <f t="shared" si="1"/>
        <v>0.74299999999999999</v>
      </c>
    </row>
    <row r="26" spans="1:8" x14ac:dyDescent="0.25">
      <c r="A26">
        <v>2007</v>
      </c>
      <c r="B26">
        <v>29</v>
      </c>
      <c r="C26" t="s">
        <v>9</v>
      </c>
      <c r="D26" t="s">
        <v>7</v>
      </c>
      <c r="E26" s="3">
        <v>6.2332698878394432E-2</v>
      </c>
      <c r="F26" s="3">
        <v>0.54301431576168024</v>
      </c>
      <c r="G26">
        <f t="shared" si="0"/>
        <v>0.62609999999999999</v>
      </c>
      <c r="H26">
        <f t="shared" si="1"/>
        <v>1.1830000000000001</v>
      </c>
    </row>
    <row r="27" spans="1:8" x14ac:dyDescent="0.25">
      <c r="A27">
        <v>2007</v>
      </c>
      <c r="B27">
        <v>30</v>
      </c>
      <c r="C27" t="s">
        <v>11</v>
      </c>
      <c r="D27" t="s">
        <v>10</v>
      </c>
      <c r="E27" s="3">
        <v>0.4854537052703547</v>
      </c>
      <c r="F27" s="3">
        <v>0.37586029957274913</v>
      </c>
      <c r="G27">
        <f t="shared" si="0"/>
        <v>0.45660000000000001</v>
      </c>
      <c r="H27">
        <f t="shared" si="1"/>
        <v>2.3530000000000002</v>
      </c>
    </row>
    <row r="28" spans="1:8" x14ac:dyDescent="0.25">
      <c r="A28">
        <v>2007</v>
      </c>
      <c r="B28">
        <v>48</v>
      </c>
      <c r="C28" t="s">
        <v>12</v>
      </c>
      <c r="D28" t="s">
        <v>7</v>
      </c>
      <c r="E28" s="3">
        <v>0.45818641264438642</v>
      </c>
      <c r="F28" s="3">
        <v>0.49346095687201991</v>
      </c>
      <c r="G28">
        <f t="shared" si="0"/>
        <v>0.62609999999999999</v>
      </c>
      <c r="H28">
        <f t="shared" si="1"/>
        <v>0.74299999999999999</v>
      </c>
    </row>
    <row r="29" spans="1:8" x14ac:dyDescent="0.25">
      <c r="A29">
        <v>2007</v>
      </c>
      <c r="B29">
        <v>48</v>
      </c>
      <c r="C29" t="s">
        <v>12</v>
      </c>
      <c r="D29" t="s">
        <v>8</v>
      </c>
      <c r="E29" s="3">
        <v>0.82746503669023519</v>
      </c>
      <c r="F29" s="3">
        <v>0.49346095687201991</v>
      </c>
      <c r="G29">
        <f t="shared" si="0"/>
        <v>0.68489999999999995</v>
      </c>
      <c r="H29">
        <f t="shared" si="1"/>
        <v>0.74299999999999999</v>
      </c>
    </row>
    <row r="30" spans="1:8" x14ac:dyDescent="0.25">
      <c r="A30">
        <v>2007</v>
      </c>
      <c r="B30">
        <v>49</v>
      </c>
      <c r="C30" t="s">
        <v>6</v>
      </c>
      <c r="D30" t="s">
        <v>13</v>
      </c>
      <c r="E30" s="3">
        <v>0.48093841355608091</v>
      </c>
      <c r="F30" s="3">
        <v>0.70701833128672908</v>
      </c>
      <c r="G30">
        <f t="shared" si="0"/>
        <v>0.67149999999999999</v>
      </c>
      <c r="H30">
        <f t="shared" si="1"/>
        <v>1.415</v>
      </c>
    </row>
    <row r="31" spans="1:8" x14ac:dyDescent="0.25">
      <c r="A31">
        <v>2008</v>
      </c>
      <c r="B31">
        <v>50</v>
      </c>
      <c r="C31" t="s">
        <v>9</v>
      </c>
      <c r="D31" t="s">
        <v>13</v>
      </c>
      <c r="E31" s="3">
        <v>0.47741094848513599</v>
      </c>
      <c r="F31" s="3">
        <v>0.8323434498094584</v>
      </c>
      <c r="G31">
        <f t="shared" si="0"/>
        <v>0.68120000000000003</v>
      </c>
      <c r="H31">
        <f t="shared" si="1"/>
        <v>1.802</v>
      </c>
    </row>
    <row r="32" spans="1:8" x14ac:dyDescent="0.25">
      <c r="A32">
        <v>2008</v>
      </c>
      <c r="B32">
        <v>51</v>
      </c>
      <c r="C32" t="s">
        <v>6</v>
      </c>
      <c r="D32" t="s">
        <v>7</v>
      </c>
      <c r="E32" s="3">
        <v>0.77144265556335456</v>
      </c>
      <c r="F32" s="3">
        <v>0.23778569529931196</v>
      </c>
      <c r="G32">
        <f t="shared" si="0"/>
        <v>0.63600000000000001</v>
      </c>
      <c r="H32">
        <f t="shared" si="1"/>
        <v>0.92</v>
      </c>
    </row>
    <row r="33" spans="1:8" x14ac:dyDescent="0.25">
      <c r="A33">
        <v>2008</v>
      </c>
      <c r="B33">
        <v>52</v>
      </c>
      <c r="C33" t="s">
        <v>11</v>
      </c>
      <c r="D33" t="s">
        <v>10</v>
      </c>
      <c r="E33" s="3">
        <v>8.1576930809021064E-2</v>
      </c>
      <c r="F33" s="3">
        <v>0.29647870966003148</v>
      </c>
      <c r="G33">
        <f t="shared" si="0"/>
        <v>0.48199999999999998</v>
      </c>
      <c r="H33">
        <f t="shared" si="1"/>
        <v>0</v>
      </c>
    </row>
    <row r="34" spans="1:8" x14ac:dyDescent="0.25">
      <c r="A34">
        <v>2008</v>
      </c>
      <c r="B34">
        <v>52</v>
      </c>
      <c r="C34" t="s">
        <v>9</v>
      </c>
      <c r="D34" t="s">
        <v>7</v>
      </c>
      <c r="E34" s="3">
        <v>0.56085931088924412</v>
      </c>
      <c r="F34" s="3">
        <v>0.29647870966003148</v>
      </c>
      <c r="G34">
        <f t="shared" si="0"/>
        <v>0.63600000000000001</v>
      </c>
      <c r="H34">
        <f t="shared" si="1"/>
        <v>1.802</v>
      </c>
    </row>
    <row r="35" spans="1:8" x14ac:dyDescent="0.25">
      <c r="A35">
        <v>2008</v>
      </c>
      <c r="B35">
        <v>52</v>
      </c>
      <c r="C35" t="s">
        <v>9</v>
      </c>
      <c r="D35" t="s">
        <v>13</v>
      </c>
      <c r="E35" s="3">
        <v>0.88407824818104508</v>
      </c>
      <c r="F35" s="3">
        <v>0.29647870966003148</v>
      </c>
      <c r="G35">
        <f t="shared" si="0"/>
        <v>0.68120000000000003</v>
      </c>
      <c r="H35">
        <f t="shared" si="1"/>
        <v>1.802</v>
      </c>
    </row>
    <row r="36" spans="1:8" x14ac:dyDescent="0.25">
      <c r="A36">
        <v>2008</v>
      </c>
      <c r="B36">
        <v>53</v>
      </c>
      <c r="C36" t="s">
        <v>12</v>
      </c>
      <c r="D36" t="s">
        <v>10</v>
      </c>
      <c r="E36" s="3">
        <v>0.45218848057091243</v>
      </c>
      <c r="F36" s="3">
        <v>0.63932472767076454</v>
      </c>
      <c r="G36">
        <f t="shared" si="0"/>
        <v>0.48199999999999998</v>
      </c>
      <c r="H36">
        <f t="shared" si="1"/>
        <v>0.48599999999999999</v>
      </c>
    </row>
    <row r="37" spans="1:8" x14ac:dyDescent="0.25">
      <c r="A37">
        <v>2008</v>
      </c>
      <c r="B37">
        <v>53</v>
      </c>
      <c r="C37" t="s">
        <v>12</v>
      </c>
      <c r="D37" t="s">
        <v>7</v>
      </c>
      <c r="E37" s="3">
        <v>0.88976448770761496</v>
      </c>
      <c r="F37" s="3">
        <v>0.63932472767076454</v>
      </c>
      <c r="G37">
        <f t="shared" si="0"/>
        <v>0.63600000000000001</v>
      </c>
      <c r="H37">
        <f t="shared" si="1"/>
        <v>0.48599999999999999</v>
      </c>
    </row>
    <row r="38" spans="1:8" x14ac:dyDescent="0.25">
      <c r="A38">
        <v>2008</v>
      </c>
      <c r="B38">
        <v>54</v>
      </c>
      <c r="C38" t="s">
        <v>6</v>
      </c>
      <c r="D38" t="s">
        <v>10</v>
      </c>
      <c r="E38" s="3">
        <v>0.85969781782925137</v>
      </c>
      <c r="F38" s="3">
        <v>0.41714147180195826</v>
      </c>
      <c r="G38">
        <f t="shared" si="0"/>
        <v>0.48199999999999998</v>
      </c>
      <c r="H38">
        <f t="shared" si="1"/>
        <v>0.92</v>
      </c>
    </row>
    <row r="39" spans="1:8" x14ac:dyDescent="0.25">
      <c r="A39">
        <v>2008</v>
      </c>
      <c r="B39">
        <v>56</v>
      </c>
      <c r="C39" t="s">
        <v>15</v>
      </c>
      <c r="D39" t="s">
        <v>13</v>
      </c>
      <c r="E39" s="3">
        <v>0.46480322089195247</v>
      </c>
      <c r="F39" s="3">
        <v>0.38996303099474688</v>
      </c>
      <c r="G39">
        <f t="shared" si="0"/>
        <v>0.68120000000000003</v>
      </c>
      <c r="H39">
        <f t="shared" si="1"/>
        <v>0.65100000000000002</v>
      </c>
    </row>
    <row r="40" spans="1:8" x14ac:dyDescent="0.25">
      <c r="A40">
        <v>2008</v>
      </c>
      <c r="B40">
        <v>57</v>
      </c>
      <c r="C40" t="s">
        <v>15</v>
      </c>
      <c r="D40" t="s">
        <v>7</v>
      </c>
      <c r="E40" s="3">
        <v>0.86678265056610104</v>
      </c>
      <c r="F40" s="3">
        <v>0.40285905354899543</v>
      </c>
      <c r="G40">
        <f t="shared" si="0"/>
        <v>0.63600000000000001</v>
      </c>
      <c r="H40">
        <f t="shared" si="1"/>
        <v>0.65100000000000002</v>
      </c>
    </row>
    <row r="41" spans="1:8" x14ac:dyDescent="0.25">
      <c r="A41">
        <v>2008</v>
      </c>
      <c r="B41">
        <v>58</v>
      </c>
      <c r="C41" t="s">
        <v>9</v>
      </c>
      <c r="D41" t="s">
        <v>10</v>
      </c>
      <c r="E41" s="3">
        <v>0.97088939411735531</v>
      </c>
      <c r="F41" s="3">
        <v>0.70797216126024221</v>
      </c>
      <c r="G41">
        <f t="shared" si="0"/>
        <v>0.48199999999999998</v>
      </c>
      <c r="H41">
        <f t="shared" si="1"/>
        <v>1.802</v>
      </c>
    </row>
    <row r="42" spans="1:8" x14ac:dyDescent="0.25">
      <c r="A42">
        <v>2008</v>
      </c>
      <c r="B42">
        <v>58</v>
      </c>
      <c r="C42" t="s">
        <v>9</v>
      </c>
      <c r="D42" t="s">
        <v>8</v>
      </c>
      <c r="E42" s="3">
        <v>0.97538959100520606</v>
      </c>
      <c r="F42" s="3">
        <v>0.70797216126024221</v>
      </c>
      <c r="G42">
        <f t="shared" si="0"/>
        <v>0.71120000000000005</v>
      </c>
      <c r="H42">
        <f t="shared" si="1"/>
        <v>1.802</v>
      </c>
    </row>
    <row r="43" spans="1:8" x14ac:dyDescent="0.25">
      <c r="A43">
        <v>2008</v>
      </c>
      <c r="B43">
        <v>59</v>
      </c>
      <c r="C43" t="s">
        <v>12</v>
      </c>
      <c r="D43" t="s">
        <v>7</v>
      </c>
      <c r="E43" s="3">
        <v>0.26735153014957913</v>
      </c>
      <c r="F43" s="3">
        <v>0.71099999999999997</v>
      </c>
      <c r="G43">
        <f t="shared" si="0"/>
        <v>0.63600000000000001</v>
      </c>
      <c r="H43">
        <f t="shared" si="1"/>
        <v>0.48599999999999999</v>
      </c>
    </row>
    <row r="44" spans="1:8" x14ac:dyDescent="0.25">
      <c r="A44">
        <v>2008</v>
      </c>
      <c r="B44">
        <v>60</v>
      </c>
      <c r="C44" t="s">
        <v>11</v>
      </c>
      <c r="D44" t="s">
        <v>7</v>
      </c>
      <c r="E44" s="3">
        <v>0.49505987014174457</v>
      </c>
      <c r="F44" s="3">
        <v>0.4</v>
      </c>
      <c r="G44">
        <f t="shared" si="0"/>
        <v>0.63600000000000001</v>
      </c>
      <c r="H44">
        <f t="shared" si="1"/>
        <v>0</v>
      </c>
    </row>
    <row r="45" spans="1:8" x14ac:dyDescent="0.25">
      <c r="A45">
        <v>2008</v>
      </c>
      <c r="B45">
        <v>60</v>
      </c>
      <c r="C45" t="s">
        <v>11</v>
      </c>
      <c r="D45" t="s">
        <v>13</v>
      </c>
      <c r="E45" s="3">
        <v>0.9190320536255836</v>
      </c>
      <c r="F45" s="3">
        <v>0.4</v>
      </c>
      <c r="G45">
        <f t="shared" si="0"/>
        <v>0.68120000000000003</v>
      </c>
      <c r="H45">
        <f t="shared" si="1"/>
        <v>0</v>
      </c>
    </row>
    <row r="46" spans="1:8" x14ac:dyDescent="0.25">
      <c r="A46">
        <v>2008</v>
      </c>
      <c r="B46">
        <v>61</v>
      </c>
      <c r="C46" t="s">
        <v>6</v>
      </c>
      <c r="D46" t="s">
        <v>7</v>
      </c>
      <c r="E46" s="3">
        <v>0.68992629382884507</v>
      </c>
      <c r="F46" s="3">
        <v>0.38</v>
      </c>
      <c r="G46">
        <f t="shared" si="0"/>
        <v>0.63600000000000001</v>
      </c>
      <c r="H46">
        <f t="shared" si="1"/>
        <v>0.92</v>
      </c>
    </row>
    <row r="47" spans="1:8" x14ac:dyDescent="0.25">
      <c r="A47">
        <v>2008</v>
      </c>
      <c r="B47">
        <v>62</v>
      </c>
      <c r="C47" t="s">
        <v>6</v>
      </c>
      <c r="D47" t="s">
        <v>10</v>
      </c>
      <c r="E47" s="3">
        <v>9.1055164074897776E-2</v>
      </c>
      <c r="F47" s="3">
        <v>0.55725300173160475</v>
      </c>
      <c r="G47">
        <f t="shared" si="0"/>
        <v>0.48199999999999998</v>
      </c>
      <c r="H47">
        <f t="shared" si="1"/>
        <v>0.92</v>
      </c>
    </row>
    <row r="48" spans="1:8" x14ac:dyDescent="0.25">
      <c r="A48">
        <v>2008</v>
      </c>
      <c r="B48">
        <v>62</v>
      </c>
      <c r="C48" t="s">
        <v>6</v>
      </c>
      <c r="D48" t="s">
        <v>13</v>
      </c>
      <c r="E48" s="3">
        <v>0.38780128974914552</v>
      </c>
      <c r="F48" s="3">
        <v>0.55725300173160475</v>
      </c>
      <c r="G48">
        <f t="shared" si="0"/>
        <v>0.68120000000000003</v>
      </c>
      <c r="H48">
        <f t="shared" si="1"/>
        <v>0.92</v>
      </c>
    </row>
    <row r="49" spans="1:8" x14ac:dyDescent="0.25">
      <c r="A49">
        <v>2008</v>
      </c>
      <c r="B49">
        <v>63</v>
      </c>
      <c r="C49" t="s">
        <v>12</v>
      </c>
      <c r="D49" t="s">
        <v>7</v>
      </c>
      <c r="E49" s="3">
        <v>0.37058930202400697</v>
      </c>
      <c r="F49" s="3">
        <v>0.33998616590112019</v>
      </c>
      <c r="G49">
        <f t="shared" si="0"/>
        <v>0.63600000000000001</v>
      </c>
      <c r="H49">
        <f t="shared" si="1"/>
        <v>0.48599999999999999</v>
      </c>
    </row>
    <row r="50" spans="1:8" x14ac:dyDescent="0.25">
      <c r="A50">
        <v>2008</v>
      </c>
      <c r="B50">
        <v>64</v>
      </c>
      <c r="C50" t="s">
        <v>11</v>
      </c>
      <c r="D50" t="s">
        <v>7</v>
      </c>
      <c r="E50" s="3">
        <v>0.21937463400363932</v>
      </c>
      <c r="F50" s="3">
        <v>0.10556480614735464</v>
      </c>
      <c r="G50">
        <f t="shared" si="0"/>
        <v>0.63600000000000001</v>
      </c>
      <c r="H50">
        <f t="shared" si="1"/>
        <v>0</v>
      </c>
    </row>
    <row r="51" spans="1:8" x14ac:dyDescent="0.25">
      <c r="A51">
        <v>2008</v>
      </c>
      <c r="B51">
        <v>65</v>
      </c>
      <c r="C51" t="s">
        <v>12</v>
      </c>
      <c r="D51" t="s">
        <v>7</v>
      </c>
      <c r="E51" s="3">
        <v>0.81427015170753003</v>
      </c>
      <c r="F51" s="3">
        <v>0.58822069356306095</v>
      </c>
      <c r="G51">
        <f t="shared" si="0"/>
        <v>0.63600000000000001</v>
      </c>
      <c r="H51">
        <f t="shared" si="1"/>
        <v>0.48599999999999999</v>
      </c>
    </row>
    <row r="52" spans="1:8" x14ac:dyDescent="0.25">
      <c r="A52">
        <v>2008</v>
      </c>
      <c r="B52">
        <v>67</v>
      </c>
      <c r="C52" t="s">
        <v>6</v>
      </c>
      <c r="D52" t="s">
        <v>10</v>
      </c>
      <c r="E52" s="3">
        <v>0.5884418302655221</v>
      </c>
      <c r="F52" s="3">
        <v>0.21274946494309407</v>
      </c>
      <c r="G52">
        <f t="shared" si="0"/>
        <v>0.48199999999999998</v>
      </c>
      <c r="H52">
        <f t="shared" si="1"/>
        <v>0.92</v>
      </c>
    </row>
    <row r="53" spans="1:8" x14ac:dyDescent="0.25">
      <c r="A53">
        <v>2008</v>
      </c>
      <c r="B53">
        <v>69</v>
      </c>
      <c r="C53" t="s">
        <v>9</v>
      </c>
      <c r="D53" t="s">
        <v>7</v>
      </c>
      <c r="E53" s="3">
        <v>0.51315197463661422</v>
      </c>
      <c r="F53" s="3">
        <v>0.26674419351554757</v>
      </c>
      <c r="G53">
        <f t="shared" si="0"/>
        <v>0.63600000000000001</v>
      </c>
      <c r="H53">
        <f t="shared" si="1"/>
        <v>1.802</v>
      </c>
    </row>
    <row r="54" spans="1:8" x14ac:dyDescent="0.25">
      <c r="A54">
        <v>2008</v>
      </c>
      <c r="B54">
        <v>70</v>
      </c>
      <c r="C54" t="s">
        <v>9</v>
      </c>
      <c r="D54" t="s">
        <v>13</v>
      </c>
      <c r="E54" s="3">
        <v>0.90196679730415341</v>
      </c>
      <c r="F54" s="3">
        <v>0.61422901981538724</v>
      </c>
      <c r="G54">
        <f t="shared" si="0"/>
        <v>0.68120000000000003</v>
      </c>
      <c r="H54">
        <f t="shared" si="1"/>
        <v>1.802</v>
      </c>
    </row>
    <row r="55" spans="1:8" x14ac:dyDescent="0.25">
      <c r="A55">
        <v>2008</v>
      </c>
      <c r="B55">
        <v>71</v>
      </c>
      <c r="C55" t="s">
        <v>14</v>
      </c>
      <c r="D55" t="s">
        <v>7</v>
      </c>
      <c r="E55" s="3">
        <v>0.71386329823732375</v>
      </c>
      <c r="F55" s="3">
        <v>0.21185460174659365</v>
      </c>
      <c r="G55">
        <f t="shared" si="0"/>
        <v>0.63600000000000001</v>
      </c>
      <c r="H55">
        <f t="shared" si="1"/>
        <v>0</v>
      </c>
    </row>
    <row r="56" spans="1:8" x14ac:dyDescent="0.25">
      <c r="A56">
        <v>2008</v>
      </c>
      <c r="B56">
        <v>72</v>
      </c>
      <c r="C56" t="s">
        <v>12</v>
      </c>
      <c r="D56" t="s">
        <v>7</v>
      </c>
      <c r="E56" s="3">
        <v>0.34513852508664133</v>
      </c>
      <c r="F56" s="3">
        <v>0.2918426605624857</v>
      </c>
      <c r="G56">
        <f t="shared" si="0"/>
        <v>0.63600000000000001</v>
      </c>
      <c r="H56">
        <f t="shared" si="1"/>
        <v>0.48599999999999999</v>
      </c>
    </row>
    <row r="57" spans="1:8" x14ac:dyDescent="0.25">
      <c r="A57">
        <v>2008</v>
      </c>
      <c r="B57">
        <v>74</v>
      </c>
      <c r="C57" t="s">
        <v>6</v>
      </c>
      <c r="D57" t="s">
        <v>7</v>
      </c>
      <c r="E57" s="3">
        <v>0.51023453762352466</v>
      </c>
      <c r="F57" s="3">
        <v>0.53678691651575272</v>
      </c>
      <c r="G57">
        <f t="shared" si="0"/>
        <v>0.63600000000000001</v>
      </c>
      <c r="H57">
        <f t="shared" si="1"/>
        <v>0.92</v>
      </c>
    </row>
    <row r="58" spans="1:8" x14ac:dyDescent="0.25">
      <c r="A58">
        <v>2008</v>
      </c>
      <c r="B58">
        <v>76</v>
      </c>
      <c r="C58" t="s">
        <v>9</v>
      </c>
      <c r="D58" t="s">
        <v>7</v>
      </c>
      <c r="E58" s="3">
        <v>0.76185368344187743</v>
      </c>
      <c r="F58" s="3">
        <v>0.32164929729042352</v>
      </c>
      <c r="G58">
        <f t="shared" si="0"/>
        <v>0.63600000000000001</v>
      </c>
      <c r="H58">
        <f t="shared" si="1"/>
        <v>1.802</v>
      </c>
    </row>
    <row r="59" spans="1:8" x14ac:dyDescent="0.25">
      <c r="A59">
        <v>2008</v>
      </c>
      <c r="B59">
        <v>76</v>
      </c>
      <c r="C59" t="s">
        <v>9</v>
      </c>
      <c r="D59" t="s">
        <v>13</v>
      </c>
      <c r="E59" s="3">
        <v>0.9477402786612511</v>
      </c>
      <c r="F59" s="3">
        <v>0.32164929729042352</v>
      </c>
      <c r="G59">
        <f t="shared" si="0"/>
        <v>0.68120000000000003</v>
      </c>
      <c r="H59">
        <f t="shared" si="1"/>
        <v>1.802</v>
      </c>
    </row>
    <row r="60" spans="1:8" x14ac:dyDescent="0.25">
      <c r="A60">
        <v>2008</v>
      </c>
      <c r="B60">
        <v>77</v>
      </c>
      <c r="C60" t="s">
        <v>12</v>
      </c>
      <c r="D60" t="s">
        <v>13</v>
      </c>
      <c r="E60" s="3">
        <v>0.92564317133724694</v>
      </c>
      <c r="F60" s="3">
        <v>0.2797087420340863</v>
      </c>
      <c r="G60">
        <f t="shared" si="0"/>
        <v>0.68120000000000003</v>
      </c>
      <c r="H60">
        <f t="shared" si="1"/>
        <v>0.48599999999999999</v>
      </c>
    </row>
    <row r="61" spans="1:8" x14ac:dyDescent="0.25">
      <c r="A61">
        <v>2008</v>
      </c>
      <c r="B61">
        <v>78</v>
      </c>
      <c r="C61" t="s">
        <v>14</v>
      </c>
      <c r="D61" t="s">
        <v>10</v>
      </c>
      <c r="E61" s="3">
        <v>3.744355867767335E-2</v>
      </c>
      <c r="F61" s="3">
        <v>0.24778868787631703</v>
      </c>
      <c r="G61">
        <f t="shared" si="0"/>
        <v>0.48199999999999998</v>
      </c>
      <c r="H61">
        <f t="shared" si="1"/>
        <v>0</v>
      </c>
    </row>
    <row r="62" spans="1:8" x14ac:dyDescent="0.25">
      <c r="A62">
        <v>2008</v>
      </c>
      <c r="B62">
        <v>79</v>
      </c>
      <c r="C62" t="s">
        <v>12</v>
      </c>
      <c r="D62" t="s">
        <v>7</v>
      </c>
      <c r="E62" s="3">
        <v>0.88050540745258332</v>
      </c>
      <c r="F62" s="3">
        <v>0.33122836011382145</v>
      </c>
      <c r="G62">
        <f t="shared" si="0"/>
        <v>0.63600000000000001</v>
      </c>
      <c r="H62">
        <f t="shared" si="1"/>
        <v>0.48599999999999999</v>
      </c>
    </row>
    <row r="63" spans="1:8" x14ac:dyDescent="0.25">
      <c r="A63">
        <v>2008</v>
      </c>
      <c r="B63">
        <v>80</v>
      </c>
      <c r="C63" t="s">
        <v>11</v>
      </c>
      <c r="D63" t="s">
        <v>10</v>
      </c>
      <c r="E63" s="3">
        <v>0.44658885968923567</v>
      </c>
      <c r="F63" s="3">
        <v>0.56338273141383655</v>
      </c>
      <c r="G63">
        <f t="shared" si="0"/>
        <v>0.48199999999999998</v>
      </c>
      <c r="H63">
        <f t="shared" si="1"/>
        <v>0</v>
      </c>
    </row>
    <row r="64" spans="1:8" x14ac:dyDescent="0.25">
      <c r="A64">
        <v>2008</v>
      </c>
      <c r="B64">
        <v>81</v>
      </c>
      <c r="C64" t="s">
        <v>9</v>
      </c>
      <c r="D64" t="s">
        <v>7</v>
      </c>
      <c r="E64" s="3">
        <v>0.74106035563117267</v>
      </c>
      <c r="F64" s="3">
        <v>0.92494487850163598</v>
      </c>
      <c r="G64">
        <f t="shared" si="0"/>
        <v>0.63600000000000001</v>
      </c>
      <c r="H64">
        <f t="shared" si="1"/>
        <v>1.802</v>
      </c>
    </row>
    <row r="65" spans="1:8" x14ac:dyDescent="0.25">
      <c r="A65">
        <v>2008</v>
      </c>
      <c r="B65">
        <v>81</v>
      </c>
      <c r="C65" t="s">
        <v>9</v>
      </c>
      <c r="D65" t="s">
        <v>13</v>
      </c>
      <c r="E65" s="3">
        <v>0.89810229246509077</v>
      </c>
      <c r="F65" s="3">
        <v>0.92494487850163598</v>
      </c>
      <c r="G65">
        <f t="shared" si="0"/>
        <v>0.68120000000000003</v>
      </c>
      <c r="H65">
        <f t="shared" si="1"/>
        <v>1.802</v>
      </c>
    </row>
    <row r="66" spans="1:8" x14ac:dyDescent="0.25">
      <c r="A66">
        <v>2008</v>
      </c>
      <c r="B66">
        <v>82</v>
      </c>
      <c r="C66" t="s">
        <v>12</v>
      </c>
      <c r="D66" t="s">
        <v>13</v>
      </c>
      <c r="E66" s="3">
        <v>0.93325690681934359</v>
      </c>
      <c r="F66" s="3">
        <v>0.81772805058931131</v>
      </c>
      <c r="G66">
        <f t="shared" si="0"/>
        <v>0.68120000000000003</v>
      </c>
      <c r="H66">
        <f t="shared" si="1"/>
        <v>0.48599999999999999</v>
      </c>
    </row>
    <row r="67" spans="1:8" x14ac:dyDescent="0.25">
      <c r="A67">
        <v>2008</v>
      </c>
      <c r="B67">
        <v>83</v>
      </c>
      <c r="C67" t="s">
        <v>11</v>
      </c>
      <c r="D67" t="s">
        <v>10</v>
      </c>
      <c r="E67" s="3">
        <v>0.75077997510433203</v>
      </c>
      <c r="F67" s="3">
        <v>0.54429782382962077</v>
      </c>
      <c r="G67">
        <f t="shared" ref="G67:G130" si="2">VLOOKUP(D67,J$3:M$6,A67-2005,0)</f>
        <v>0.48199999999999998</v>
      </c>
      <c r="H67">
        <f t="shared" ref="H67:H130" si="3">VLOOKUP(C67,J$10:M$16,A67-2005,0)</f>
        <v>0</v>
      </c>
    </row>
    <row r="68" spans="1:8" x14ac:dyDescent="0.25">
      <c r="A68">
        <v>2008</v>
      </c>
      <c r="B68">
        <v>83</v>
      </c>
      <c r="C68" t="s">
        <v>11</v>
      </c>
      <c r="D68" t="s">
        <v>7</v>
      </c>
      <c r="E68" s="3">
        <v>0.96189763247966764</v>
      </c>
      <c r="F68" s="3">
        <v>0.54429782382962077</v>
      </c>
      <c r="G68">
        <f t="shared" si="2"/>
        <v>0.63600000000000001</v>
      </c>
      <c r="H68">
        <f t="shared" si="3"/>
        <v>0</v>
      </c>
    </row>
    <row r="69" spans="1:8" x14ac:dyDescent="0.25">
      <c r="A69">
        <v>2008</v>
      </c>
      <c r="B69">
        <v>84</v>
      </c>
      <c r="C69" t="s">
        <v>6</v>
      </c>
      <c r="D69" t="s">
        <v>13</v>
      </c>
      <c r="E69" s="3">
        <v>0.98439273302692176</v>
      </c>
      <c r="F69" s="3">
        <v>0.694189569064391</v>
      </c>
      <c r="G69">
        <f t="shared" si="2"/>
        <v>0.68120000000000003</v>
      </c>
      <c r="H69">
        <f t="shared" si="3"/>
        <v>0.92</v>
      </c>
    </row>
    <row r="70" spans="1:8" x14ac:dyDescent="0.25">
      <c r="A70">
        <v>2008</v>
      </c>
      <c r="B70">
        <v>85</v>
      </c>
      <c r="C70" t="s">
        <v>6</v>
      </c>
      <c r="D70" t="s">
        <v>7</v>
      </c>
      <c r="E70" s="3">
        <v>0.7403414081335068</v>
      </c>
      <c r="F70" s="3">
        <v>0.40868145153032109</v>
      </c>
      <c r="G70">
        <f t="shared" si="2"/>
        <v>0.63600000000000001</v>
      </c>
      <c r="H70">
        <f t="shared" si="3"/>
        <v>0.92</v>
      </c>
    </row>
    <row r="71" spans="1:8" x14ac:dyDescent="0.25">
      <c r="A71">
        <v>2008</v>
      </c>
      <c r="B71">
        <v>86</v>
      </c>
      <c r="C71" t="s">
        <v>15</v>
      </c>
      <c r="D71" t="s">
        <v>10</v>
      </c>
      <c r="E71" s="3">
        <v>0.5812522217988968</v>
      </c>
      <c r="F71" s="3">
        <v>0.56725366780919362</v>
      </c>
      <c r="G71">
        <f t="shared" si="2"/>
        <v>0.48199999999999998</v>
      </c>
      <c r="H71">
        <f t="shared" si="3"/>
        <v>0.65100000000000002</v>
      </c>
    </row>
    <row r="72" spans="1:8" x14ac:dyDescent="0.25">
      <c r="A72">
        <v>2008</v>
      </c>
      <c r="B72">
        <v>87</v>
      </c>
      <c r="C72" t="s">
        <v>12</v>
      </c>
      <c r="D72" t="s">
        <v>7</v>
      </c>
      <c r="E72" s="3">
        <v>0.37784654041051868</v>
      </c>
      <c r="F72" s="3">
        <v>0.73434035507544626</v>
      </c>
      <c r="G72">
        <f t="shared" si="2"/>
        <v>0.63600000000000001</v>
      </c>
      <c r="H72">
        <f t="shared" si="3"/>
        <v>0.48599999999999999</v>
      </c>
    </row>
    <row r="73" spans="1:8" x14ac:dyDescent="0.25">
      <c r="A73">
        <v>2008</v>
      </c>
      <c r="B73">
        <v>87</v>
      </c>
      <c r="C73" t="s">
        <v>12</v>
      </c>
      <c r="D73" t="s">
        <v>8</v>
      </c>
      <c r="E73" s="3">
        <v>0.24836604337394241</v>
      </c>
      <c r="F73" s="3">
        <v>0.73434035507544626</v>
      </c>
      <c r="G73">
        <f t="shared" si="2"/>
        <v>0.71120000000000005</v>
      </c>
      <c r="H73">
        <f t="shared" si="3"/>
        <v>0.48599999999999999</v>
      </c>
    </row>
    <row r="74" spans="1:8" x14ac:dyDescent="0.25">
      <c r="A74">
        <v>2008</v>
      </c>
      <c r="B74">
        <v>88</v>
      </c>
      <c r="C74" t="s">
        <v>9</v>
      </c>
      <c r="D74" t="s">
        <v>13</v>
      </c>
      <c r="E74" s="3">
        <v>0.99</v>
      </c>
      <c r="F74" s="3">
        <v>0.52206271546701233</v>
      </c>
      <c r="G74">
        <f t="shared" si="2"/>
        <v>0.68120000000000003</v>
      </c>
      <c r="H74">
        <f t="shared" si="3"/>
        <v>1.802</v>
      </c>
    </row>
    <row r="75" spans="1:8" x14ac:dyDescent="0.25">
      <c r="A75">
        <v>2008</v>
      </c>
      <c r="B75">
        <v>89</v>
      </c>
      <c r="C75" t="s">
        <v>9</v>
      </c>
      <c r="D75" t="s">
        <v>13</v>
      </c>
      <c r="E75" s="3">
        <v>0.87525740684866904</v>
      </c>
      <c r="F75" s="3">
        <v>0.95318870342777562</v>
      </c>
      <c r="G75">
        <f t="shared" si="2"/>
        <v>0.68120000000000003</v>
      </c>
      <c r="H75">
        <f t="shared" si="3"/>
        <v>1.802</v>
      </c>
    </row>
    <row r="76" spans="1:8" x14ac:dyDescent="0.25">
      <c r="A76">
        <v>2008</v>
      </c>
      <c r="B76">
        <v>90</v>
      </c>
      <c r="C76" t="s">
        <v>6</v>
      </c>
      <c r="D76" t="s">
        <v>7</v>
      </c>
      <c r="E76" s="3">
        <v>0.91139864739155774</v>
      </c>
      <c r="F76" s="3">
        <v>0.83699916150606346</v>
      </c>
      <c r="G76">
        <f t="shared" si="2"/>
        <v>0.63600000000000001</v>
      </c>
      <c r="H76">
        <f t="shared" si="3"/>
        <v>0.92</v>
      </c>
    </row>
    <row r="77" spans="1:8" x14ac:dyDescent="0.25">
      <c r="A77">
        <v>2008</v>
      </c>
      <c r="B77">
        <v>92</v>
      </c>
      <c r="C77" t="s">
        <v>12</v>
      </c>
      <c r="D77" t="s">
        <v>7</v>
      </c>
      <c r="E77" s="3">
        <v>0.89476252312660221</v>
      </c>
      <c r="F77" s="3">
        <v>0.74755604917707652</v>
      </c>
      <c r="G77">
        <f t="shared" si="2"/>
        <v>0.63600000000000001</v>
      </c>
      <c r="H77">
        <f t="shared" si="3"/>
        <v>0.48599999999999999</v>
      </c>
    </row>
    <row r="78" spans="1:8" x14ac:dyDescent="0.25">
      <c r="A78">
        <v>2008</v>
      </c>
      <c r="B78">
        <v>94</v>
      </c>
      <c r="C78" t="s">
        <v>9</v>
      </c>
      <c r="D78" t="s">
        <v>7</v>
      </c>
      <c r="E78" s="3">
        <v>0.97135278132557867</v>
      </c>
      <c r="F78" s="3">
        <v>0.61874319906178898</v>
      </c>
      <c r="G78">
        <f t="shared" si="2"/>
        <v>0.63600000000000001</v>
      </c>
      <c r="H78">
        <f t="shared" si="3"/>
        <v>1.802</v>
      </c>
    </row>
    <row r="79" spans="1:8" x14ac:dyDescent="0.25">
      <c r="A79">
        <v>2008</v>
      </c>
      <c r="B79">
        <v>95</v>
      </c>
      <c r="C79" t="s">
        <v>15</v>
      </c>
      <c r="D79" t="s">
        <v>10</v>
      </c>
      <c r="E79" s="3">
        <v>0.41494040352106099</v>
      </c>
      <c r="F79" s="3">
        <v>0.19787458683197831</v>
      </c>
      <c r="G79">
        <f t="shared" si="2"/>
        <v>0.48199999999999998</v>
      </c>
      <c r="H79">
        <f t="shared" si="3"/>
        <v>0.65100000000000002</v>
      </c>
    </row>
    <row r="80" spans="1:8" x14ac:dyDescent="0.25">
      <c r="A80">
        <v>2008</v>
      </c>
      <c r="B80">
        <v>96</v>
      </c>
      <c r="C80" t="s">
        <v>9</v>
      </c>
      <c r="D80" t="s">
        <v>13</v>
      </c>
      <c r="E80" s="3">
        <v>0.96787419640171524</v>
      </c>
      <c r="F80" s="3">
        <v>0.66301312007118229</v>
      </c>
      <c r="G80">
        <f t="shared" si="2"/>
        <v>0.68120000000000003</v>
      </c>
      <c r="H80">
        <f t="shared" si="3"/>
        <v>1.802</v>
      </c>
    </row>
    <row r="81" spans="1:8" x14ac:dyDescent="0.25">
      <c r="A81">
        <v>2008</v>
      </c>
      <c r="B81">
        <v>97</v>
      </c>
      <c r="C81" t="s">
        <v>6</v>
      </c>
      <c r="D81" t="s">
        <v>7</v>
      </c>
      <c r="E81" s="3">
        <v>0.96173890941143036</v>
      </c>
      <c r="F81" s="3">
        <v>0.31763891494624574</v>
      </c>
      <c r="G81">
        <f t="shared" si="2"/>
        <v>0.63600000000000001</v>
      </c>
      <c r="H81">
        <f t="shared" si="3"/>
        <v>0.92</v>
      </c>
    </row>
    <row r="82" spans="1:8" x14ac:dyDescent="0.25">
      <c r="A82">
        <v>2008</v>
      </c>
      <c r="B82">
        <v>97</v>
      </c>
      <c r="C82" t="s">
        <v>6</v>
      </c>
      <c r="D82" t="s">
        <v>8</v>
      </c>
      <c r="E82" s="3">
        <v>0.99</v>
      </c>
      <c r="F82" s="3">
        <v>0.31763891494624574</v>
      </c>
      <c r="G82">
        <f t="shared" si="2"/>
        <v>0.71120000000000005</v>
      </c>
      <c r="H82">
        <f t="shared" si="3"/>
        <v>0.92</v>
      </c>
    </row>
    <row r="83" spans="1:8" x14ac:dyDescent="0.25">
      <c r="A83">
        <v>2008</v>
      </c>
      <c r="B83">
        <v>101</v>
      </c>
      <c r="C83" t="s">
        <v>9</v>
      </c>
      <c r="D83" t="s">
        <v>13</v>
      </c>
      <c r="E83" s="3">
        <v>0.27172674984931955</v>
      </c>
      <c r="F83" s="3">
        <v>8.3188082951673237E-2</v>
      </c>
      <c r="G83">
        <f t="shared" si="2"/>
        <v>0.68120000000000003</v>
      </c>
      <c r="H83">
        <f t="shared" si="3"/>
        <v>1.802</v>
      </c>
    </row>
    <row r="84" spans="1:8" x14ac:dyDescent="0.25">
      <c r="A84">
        <v>2008</v>
      </c>
      <c r="B84">
        <v>103</v>
      </c>
      <c r="C84" t="s">
        <v>11</v>
      </c>
      <c r="D84" t="s">
        <v>10</v>
      </c>
      <c r="E84" s="3">
        <v>0.69783712044209245</v>
      </c>
      <c r="F84" s="3">
        <v>0.37310963843781886</v>
      </c>
      <c r="G84">
        <f t="shared" si="2"/>
        <v>0.48199999999999998</v>
      </c>
      <c r="H84">
        <f t="shared" si="3"/>
        <v>0</v>
      </c>
    </row>
    <row r="85" spans="1:8" x14ac:dyDescent="0.25">
      <c r="A85">
        <v>2008</v>
      </c>
      <c r="B85">
        <v>104</v>
      </c>
      <c r="C85" t="s">
        <v>16</v>
      </c>
      <c r="D85" t="s">
        <v>7</v>
      </c>
      <c r="E85" s="3">
        <v>0.99</v>
      </c>
      <c r="F85" s="3">
        <v>0.38618972479681807</v>
      </c>
      <c r="G85">
        <f t="shared" si="2"/>
        <v>0.63600000000000001</v>
      </c>
      <c r="H85">
        <f t="shared" si="3"/>
        <v>0.71499999999999997</v>
      </c>
    </row>
    <row r="86" spans="1:8" x14ac:dyDescent="0.25">
      <c r="A86">
        <v>2008</v>
      </c>
      <c r="B86">
        <v>105</v>
      </c>
      <c r="C86" t="s">
        <v>6</v>
      </c>
      <c r="D86" t="s">
        <v>7</v>
      </c>
      <c r="E86" s="3">
        <v>0.46285301174968485</v>
      </c>
      <c r="F86" s="3">
        <v>0.64926495066044143</v>
      </c>
      <c r="G86">
        <f t="shared" si="2"/>
        <v>0.63600000000000001</v>
      </c>
      <c r="H86">
        <f t="shared" si="3"/>
        <v>0.92</v>
      </c>
    </row>
    <row r="87" spans="1:8" x14ac:dyDescent="0.25">
      <c r="A87">
        <v>2008</v>
      </c>
      <c r="B87">
        <v>106</v>
      </c>
      <c r="C87" t="s">
        <v>6</v>
      </c>
      <c r="D87" t="s">
        <v>13</v>
      </c>
      <c r="E87" s="3">
        <v>0.8950770333170891</v>
      </c>
      <c r="F87" s="3">
        <v>0.44327176412729286</v>
      </c>
      <c r="G87">
        <f t="shared" si="2"/>
        <v>0.68120000000000003</v>
      </c>
      <c r="H87">
        <f t="shared" si="3"/>
        <v>0.92</v>
      </c>
    </row>
    <row r="88" spans="1:8" x14ac:dyDescent="0.25">
      <c r="A88">
        <v>2008</v>
      </c>
      <c r="B88">
        <v>107</v>
      </c>
      <c r="C88" t="s">
        <v>9</v>
      </c>
      <c r="D88" t="s">
        <v>7</v>
      </c>
      <c r="E88" s="3">
        <v>0.94002861753106115</v>
      </c>
      <c r="F88" s="3">
        <v>0.42427551441304501</v>
      </c>
      <c r="G88">
        <f t="shared" si="2"/>
        <v>0.63600000000000001</v>
      </c>
      <c r="H88">
        <f t="shared" si="3"/>
        <v>1.802</v>
      </c>
    </row>
    <row r="89" spans="1:8" x14ac:dyDescent="0.25">
      <c r="A89">
        <v>2008</v>
      </c>
      <c r="B89">
        <v>107</v>
      </c>
      <c r="C89" t="s">
        <v>9</v>
      </c>
      <c r="D89" t="s">
        <v>13</v>
      </c>
      <c r="E89" s="3">
        <v>0.99</v>
      </c>
      <c r="F89" s="3">
        <v>0.42427551441304501</v>
      </c>
      <c r="G89">
        <f t="shared" si="2"/>
        <v>0.68120000000000003</v>
      </c>
      <c r="H89">
        <f t="shared" si="3"/>
        <v>1.802</v>
      </c>
    </row>
    <row r="90" spans="1:8" x14ac:dyDescent="0.25">
      <c r="A90">
        <v>2008</v>
      </c>
      <c r="B90">
        <v>108</v>
      </c>
      <c r="C90" t="s">
        <v>12</v>
      </c>
      <c r="D90" t="s">
        <v>7</v>
      </c>
      <c r="E90" s="3">
        <v>0.80151248413473364</v>
      </c>
      <c r="F90" s="3">
        <v>0.90795402350256382</v>
      </c>
      <c r="G90">
        <f t="shared" si="2"/>
        <v>0.63600000000000001</v>
      </c>
      <c r="H90">
        <f t="shared" si="3"/>
        <v>0.48599999999999999</v>
      </c>
    </row>
    <row r="91" spans="1:8" x14ac:dyDescent="0.25">
      <c r="A91">
        <v>2008</v>
      </c>
      <c r="B91">
        <v>109</v>
      </c>
      <c r="C91" t="s">
        <v>11</v>
      </c>
      <c r="D91" t="s">
        <v>7</v>
      </c>
      <c r="E91" s="3">
        <v>0.71799845069324975</v>
      </c>
      <c r="F91" s="3">
        <v>0.5730565842116091</v>
      </c>
      <c r="G91">
        <f t="shared" si="2"/>
        <v>0.63600000000000001</v>
      </c>
      <c r="H91">
        <f t="shared" si="3"/>
        <v>0</v>
      </c>
    </row>
    <row r="92" spans="1:8" x14ac:dyDescent="0.25">
      <c r="A92">
        <v>2008</v>
      </c>
      <c r="B92">
        <v>109</v>
      </c>
      <c r="C92" t="s">
        <v>11</v>
      </c>
      <c r="D92" t="s">
        <v>13</v>
      </c>
      <c r="E92" s="3">
        <v>0.46551657907664779</v>
      </c>
      <c r="F92" s="3">
        <v>0.5730565842116091</v>
      </c>
      <c r="G92">
        <f t="shared" si="2"/>
        <v>0.68120000000000003</v>
      </c>
      <c r="H92">
        <f t="shared" si="3"/>
        <v>0</v>
      </c>
    </row>
    <row r="93" spans="1:8" x14ac:dyDescent="0.25">
      <c r="A93">
        <v>2008</v>
      </c>
      <c r="B93">
        <v>110</v>
      </c>
      <c r="C93" t="s">
        <v>16</v>
      </c>
      <c r="D93" t="s">
        <v>7</v>
      </c>
      <c r="E93" s="3">
        <v>0.29081846971511849</v>
      </c>
      <c r="F93" s="3">
        <v>0.28582809913874851</v>
      </c>
      <c r="G93">
        <f t="shared" si="2"/>
        <v>0.63600000000000001</v>
      </c>
      <c r="H93">
        <f t="shared" si="3"/>
        <v>0.71499999999999997</v>
      </c>
    </row>
    <row r="94" spans="1:8" x14ac:dyDescent="0.25">
      <c r="A94">
        <v>2008</v>
      </c>
      <c r="B94">
        <v>112</v>
      </c>
      <c r="C94" t="s">
        <v>11</v>
      </c>
      <c r="D94" t="s">
        <v>7</v>
      </c>
      <c r="E94" s="3">
        <v>0.33584004114037758</v>
      </c>
      <c r="F94" s="3">
        <v>0.51</v>
      </c>
      <c r="G94">
        <f t="shared" si="2"/>
        <v>0.63600000000000001</v>
      </c>
      <c r="H94">
        <f t="shared" si="3"/>
        <v>0</v>
      </c>
    </row>
    <row r="95" spans="1:8" x14ac:dyDescent="0.25">
      <c r="A95">
        <v>2008</v>
      </c>
      <c r="B95">
        <v>113</v>
      </c>
      <c r="C95" t="s">
        <v>6</v>
      </c>
      <c r="D95" t="s">
        <v>7</v>
      </c>
      <c r="E95" s="3">
        <v>0.18713916675448417</v>
      </c>
      <c r="F95" s="3">
        <v>0.30464169858182077</v>
      </c>
      <c r="G95">
        <f t="shared" si="2"/>
        <v>0.63600000000000001</v>
      </c>
      <c r="H95">
        <f t="shared" si="3"/>
        <v>0.92</v>
      </c>
    </row>
    <row r="96" spans="1:8" x14ac:dyDescent="0.25">
      <c r="A96">
        <v>2008</v>
      </c>
      <c r="B96">
        <v>114</v>
      </c>
      <c r="C96" t="s">
        <v>6</v>
      </c>
      <c r="D96" t="s">
        <v>7</v>
      </c>
      <c r="E96" s="3">
        <v>0.97137140524387355</v>
      </c>
      <c r="F96" s="3">
        <v>0.67261373475313246</v>
      </c>
      <c r="G96">
        <f t="shared" si="2"/>
        <v>0.63600000000000001</v>
      </c>
      <c r="H96">
        <f t="shared" si="3"/>
        <v>0.92</v>
      </c>
    </row>
    <row r="97" spans="1:8" x14ac:dyDescent="0.25">
      <c r="A97">
        <v>2008</v>
      </c>
      <c r="B97">
        <v>114</v>
      </c>
      <c r="C97" t="s">
        <v>6</v>
      </c>
      <c r="D97" t="s">
        <v>8</v>
      </c>
      <c r="E97" s="3">
        <v>0.99</v>
      </c>
      <c r="F97" s="3">
        <v>0.67261373475313246</v>
      </c>
      <c r="G97">
        <f t="shared" si="2"/>
        <v>0.71120000000000005</v>
      </c>
      <c r="H97">
        <f t="shared" si="3"/>
        <v>0.92</v>
      </c>
    </row>
    <row r="98" spans="1:8" x14ac:dyDescent="0.25">
      <c r="A98">
        <v>2008</v>
      </c>
      <c r="B98">
        <v>115</v>
      </c>
      <c r="C98" t="s">
        <v>11</v>
      </c>
      <c r="D98" t="s">
        <v>7</v>
      </c>
      <c r="E98" s="3">
        <v>0.32264594677954916</v>
      </c>
      <c r="F98" s="3">
        <v>7.258593982974812E-2</v>
      </c>
      <c r="G98">
        <f t="shared" si="2"/>
        <v>0.63600000000000001</v>
      </c>
      <c r="H98">
        <f t="shared" si="3"/>
        <v>0</v>
      </c>
    </row>
    <row r="99" spans="1:8" x14ac:dyDescent="0.25">
      <c r="A99">
        <v>2008</v>
      </c>
      <c r="B99">
        <v>117</v>
      </c>
      <c r="C99" t="s">
        <v>11</v>
      </c>
      <c r="D99" t="s">
        <v>10</v>
      </c>
      <c r="E99" s="3">
        <v>0.28635053664445875</v>
      </c>
      <c r="F99" s="3">
        <v>0.1516781108947598</v>
      </c>
      <c r="G99">
        <f t="shared" si="2"/>
        <v>0.48199999999999998</v>
      </c>
      <c r="H99">
        <f t="shared" si="3"/>
        <v>0</v>
      </c>
    </row>
    <row r="100" spans="1:8" x14ac:dyDescent="0.25">
      <c r="A100">
        <v>2008</v>
      </c>
      <c r="B100">
        <v>118</v>
      </c>
      <c r="C100" t="s">
        <v>9</v>
      </c>
      <c r="D100" t="s">
        <v>7</v>
      </c>
      <c r="E100" s="3">
        <v>0.55920900090932846</v>
      </c>
      <c r="F100" s="3">
        <v>0.26190642057196828</v>
      </c>
      <c r="G100">
        <f t="shared" si="2"/>
        <v>0.63600000000000001</v>
      </c>
      <c r="H100">
        <f t="shared" si="3"/>
        <v>1.802</v>
      </c>
    </row>
    <row r="101" spans="1:8" x14ac:dyDescent="0.25">
      <c r="A101">
        <v>2008</v>
      </c>
      <c r="B101">
        <v>119</v>
      </c>
      <c r="C101" t="s">
        <v>6</v>
      </c>
      <c r="D101" t="s">
        <v>7</v>
      </c>
      <c r="E101" s="3">
        <v>0.99</v>
      </c>
      <c r="F101" s="3">
        <v>0.55367934354280579</v>
      </c>
      <c r="G101">
        <f t="shared" si="2"/>
        <v>0.63600000000000001</v>
      </c>
      <c r="H101">
        <f t="shared" si="3"/>
        <v>0.92</v>
      </c>
    </row>
    <row r="102" spans="1:8" x14ac:dyDescent="0.25">
      <c r="A102">
        <v>2008</v>
      </c>
      <c r="B102">
        <v>120</v>
      </c>
      <c r="C102" t="s">
        <v>9</v>
      </c>
      <c r="D102" t="s">
        <v>13</v>
      </c>
      <c r="E102" s="3">
        <v>0.31125581919997924</v>
      </c>
      <c r="F102" s="3">
        <v>0.30380197140973264</v>
      </c>
      <c r="G102">
        <f t="shared" si="2"/>
        <v>0.68120000000000003</v>
      </c>
      <c r="H102">
        <f t="shared" si="3"/>
        <v>1.802</v>
      </c>
    </row>
    <row r="103" spans="1:8" x14ac:dyDescent="0.25">
      <c r="A103">
        <v>2008</v>
      </c>
      <c r="B103">
        <v>121</v>
      </c>
      <c r="C103" t="s">
        <v>12</v>
      </c>
      <c r="D103" t="s">
        <v>7</v>
      </c>
      <c r="E103" s="3">
        <v>0.93297019857168195</v>
      </c>
      <c r="F103" s="3">
        <v>0.62613678209893253</v>
      </c>
      <c r="G103">
        <f t="shared" si="2"/>
        <v>0.63600000000000001</v>
      </c>
      <c r="H103">
        <f t="shared" si="3"/>
        <v>0.48599999999999999</v>
      </c>
    </row>
    <row r="104" spans="1:8" x14ac:dyDescent="0.25">
      <c r="A104">
        <v>2008</v>
      </c>
      <c r="B104">
        <v>122</v>
      </c>
      <c r="C104" t="s">
        <v>11</v>
      </c>
      <c r="D104" t="s">
        <v>7</v>
      </c>
      <c r="E104" s="3">
        <v>0.99</v>
      </c>
      <c r="F104" s="3">
        <v>0.31731812403338355</v>
      </c>
      <c r="G104">
        <f t="shared" si="2"/>
        <v>0.63600000000000001</v>
      </c>
      <c r="H104">
        <f t="shared" si="3"/>
        <v>0</v>
      </c>
    </row>
    <row r="105" spans="1:8" x14ac:dyDescent="0.25">
      <c r="A105">
        <v>2008</v>
      </c>
      <c r="B105">
        <v>123</v>
      </c>
      <c r="C105" t="s">
        <v>9</v>
      </c>
      <c r="D105" t="s">
        <v>7</v>
      </c>
      <c r="E105" s="3">
        <v>0.75138366169929505</v>
      </c>
      <c r="F105" s="3">
        <v>0.88304343069253255</v>
      </c>
      <c r="G105">
        <f t="shared" si="2"/>
        <v>0.63600000000000001</v>
      </c>
      <c r="H105">
        <f t="shared" si="3"/>
        <v>1.802</v>
      </c>
    </row>
    <row r="106" spans="1:8" x14ac:dyDescent="0.25">
      <c r="A106">
        <v>2008</v>
      </c>
      <c r="B106">
        <v>124</v>
      </c>
      <c r="C106" t="s">
        <v>15</v>
      </c>
      <c r="D106" t="s">
        <v>7</v>
      </c>
      <c r="E106" s="3">
        <v>0.69090181032019859</v>
      </c>
      <c r="F106" s="3">
        <v>0.80898648367000381</v>
      </c>
      <c r="G106">
        <f t="shared" si="2"/>
        <v>0.63600000000000001</v>
      </c>
      <c r="H106">
        <f t="shared" si="3"/>
        <v>0.65100000000000002</v>
      </c>
    </row>
    <row r="107" spans="1:8" x14ac:dyDescent="0.25">
      <c r="A107">
        <v>2008</v>
      </c>
      <c r="B107">
        <v>125</v>
      </c>
      <c r="C107" t="s">
        <v>15</v>
      </c>
      <c r="D107" t="s">
        <v>10</v>
      </c>
      <c r="E107" s="3">
        <v>0.40545830129384997</v>
      </c>
      <c r="F107" s="3">
        <v>0.29367431373295771</v>
      </c>
      <c r="G107">
        <f t="shared" si="2"/>
        <v>0.48199999999999998</v>
      </c>
      <c r="H107">
        <f t="shared" si="3"/>
        <v>0.65100000000000002</v>
      </c>
    </row>
    <row r="108" spans="1:8" x14ac:dyDescent="0.25">
      <c r="A108">
        <v>2008</v>
      </c>
      <c r="B108">
        <v>125</v>
      </c>
      <c r="C108" t="s">
        <v>15</v>
      </c>
      <c r="D108" t="s">
        <v>13</v>
      </c>
      <c r="E108" s="3">
        <v>0.97146591430902485</v>
      </c>
      <c r="F108" s="3">
        <v>0.29367431373295771</v>
      </c>
      <c r="G108">
        <f t="shared" si="2"/>
        <v>0.68120000000000003</v>
      </c>
      <c r="H108">
        <f t="shared" si="3"/>
        <v>0.65100000000000002</v>
      </c>
    </row>
    <row r="109" spans="1:8" x14ac:dyDescent="0.25">
      <c r="A109">
        <v>2008</v>
      </c>
      <c r="B109">
        <v>126</v>
      </c>
      <c r="C109" t="s">
        <v>14</v>
      </c>
      <c r="D109" t="s">
        <v>7</v>
      </c>
      <c r="E109" s="3">
        <v>0.96647910244464874</v>
      </c>
      <c r="F109" s="3">
        <v>0.26052044828296522</v>
      </c>
      <c r="G109">
        <f t="shared" si="2"/>
        <v>0.63600000000000001</v>
      </c>
      <c r="H109">
        <f t="shared" si="3"/>
        <v>0</v>
      </c>
    </row>
    <row r="110" spans="1:8" x14ac:dyDescent="0.25">
      <c r="A110">
        <v>2008</v>
      </c>
      <c r="B110">
        <v>127</v>
      </c>
      <c r="C110" t="s">
        <v>6</v>
      </c>
      <c r="D110" t="s">
        <v>8</v>
      </c>
      <c r="E110" s="3">
        <v>0.9047814211249352</v>
      </c>
      <c r="F110" s="3">
        <v>0.56308744944726985</v>
      </c>
      <c r="G110">
        <f t="shared" si="2"/>
        <v>0.71120000000000005</v>
      </c>
      <c r="H110">
        <f t="shared" si="3"/>
        <v>0.92</v>
      </c>
    </row>
    <row r="111" spans="1:8" x14ac:dyDescent="0.25">
      <c r="A111">
        <v>2008</v>
      </c>
      <c r="B111">
        <v>129</v>
      </c>
      <c r="C111" t="s">
        <v>14</v>
      </c>
      <c r="D111" t="s">
        <v>10</v>
      </c>
      <c r="E111" s="3">
        <v>3.7434061872959168E-2</v>
      </c>
      <c r="F111" s="3">
        <v>0.28672206041384307</v>
      </c>
      <c r="G111">
        <f t="shared" si="2"/>
        <v>0.48199999999999998</v>
      </c>
      <c r="H111">
        <f t="shared" si="3"/>
        <v>0</v>
      </c>
    </row>
    <row r="112" spans="1:8" x14ac:dyDescent="0.25">
      <c r="A112">
        <v>2008</v>
      </c>
      <c r="B112">
        <v>131</v>
      </c>
      <c r="C112" t="s">
        <v>9</v>
      </c>
      <c r="D112" t="s">
        <v>7</v>
      </c>
      <c r="E112" s="3">
        <v>0.89032321428954597</v>
      </c>
      <c r="F112" s="3">
        <v>0.3164972363445373</v>
      </c>
      <c r="G112">
        <f t="shared" si="2"/>
        <v>0.63600000000000001</v>
      </c>
      <c r="H112">
        <f t="shared" si="3"/>
        <v>1.802</v>
      </c>
    </row>
    <row r="113" spans="1:8" x14ac:dyDescent="0.25">
      <c r="A113">
        <v>2008</v>
      </c>
      <c r="B113">
        <v>132</v>
      </c>
      <c r="C113" t="s">
        <v>6</v>
      </c>
      <c r="D113" t="s">
        <v>13</v>
      </c>
      <c r="E113" s="3">
        <v>0.8080750613212585</v>
      </c>
      <c r="F113" s="3">
        <v>0.67717724443868488</v>
      </c>
      <c r="G113">
        <f t="shared" si="2"/>
        <v>0.68120000000000003</v>
      </c>
      <c r="H113">
        <f t="shared" si="3"/>
        <v>0.92</v>
      </c>
    </row>
    <row r="114" spans="1:8" x14ac:dyDescent="0.25">
      <c r="A114">
        <v>2008</v>
      </c>
      <c r="B114">
        <v>133</v>
      </c>
      <c r="C114" t="s">
        <v>9</v>
      </c>
      <c r="D114" t="s">
        <v>13</v>
      </c>
      <c r="E114" s="3">
        <v>0.80930909860134126</v>
      </c>
      <c r="F114" s="3">
        <v>0.46760560482850022</v>
      </c>
      <c r="G114">
        <f t="shared" si="2"/>
        <v>0.68120000000000003</v>
      </c>
      <c r="H114">
        <f t="shared" si="3"/>
        <v>1.802</v>
      </c>
    </row>
    <row r="115" spans="1:8" x14ac:dyDescent="0.25">
      <c r="A115">
        <v>2008</v>
      </c>
      <c r="B115">
        <v>134</v>
      </c>
      <c r="C115" t="s">
        <v>12</v>
      </c>
      <c r="D115" t="s">
        <v>7</v>
      </c>
      <c r="E115" s="3">
        <v>0.60797972234487541</v>
      </c>
      <c r="F115" s="3">
        <v>0.60037109241492548</v>
      </c>
      <c r="G115">
        <f t="shared" si="2"/>
        <v>0.63600000000000001</v>
      </c>
      <c r="H115">
        <f t="shared" si="3"/>
        <v>0.48599999999999999</v>
      </c>
    </row>
    <row r="116" spans="1:8" x14ac:dyDescent="0.25">
      <c r="A116">
        <v>2008</v>
      </c>
      <c r="B116">
        <v>135</v>
      </c>
      <c r="C116" t="s">
        <v>11</v>
      </c>
      <c r="D116" t="s">
        <v>7</v>
      </c>
      <c r="E116" s="3">
        <v>0.80842303812503813</v>
      </c>
      <c r="F116" s="3">
        <v>0.78147418480319919</v>
      </c>
      <c r="G116">
        <f t="shared" si="2"/>
        <v>0.63600000000000001</v>
      </c>
      <c r="H116">
        <f t="shared" si="3"/>
        <v>0</v>
      </c>
    </row>
    <row r="117" spans="1:8" x14ac:dyDescent="0.25">
      <c r="A117">
        <v>2008</v>
      </c>
      <c r="B117">
        <v>136</v>
      </c>
      <c r="C117" t="s">
        <v>15</v>
      </c>
      <c r="D117" t="s">
        <v>7</v>
      </c>
      <c r="E117" s="3">
        <v>0.41977209057807918</v>
      </c>
      <c r="F117" s="3">
        <v>0.80645348513496729</v>
      </c>
      <c r="G117">
        <f t="shared" si="2"/>
        <v>0.63600000000000001</v>
      </c>
      <c r="H117">
        <f t="shared" si="3"/>
        <v>0.65100000000000002</v>
      </c>
    </row>
    <row r="118" spans="1:8" x14ac:dyDescent="0.25">
      <c r="A118">
        <v>2008</v>
      </c>
      <c r="B118">
        <v>137</v>
      </c>
      <c r="C118" t="s">
        <v>16</v>
      </c>
      <c r="D118" t="s">
        <v>7</v>
      </c>
      <c r="E118" s="3">
        <v>0.32865962749719624</v>
      </c>
      <c r="F118" s="3">
        <v>0.69813072254870745</v>
      </c>
      <c r="G118">
        <f t="shared" si="2"/>
        <v>0.63600000000000001</v>
      </c>
      <c r="H118">
        <f t="shared" si="3"/>
        <v>0.71499999999999997</v>
      </c>
    </row>
    <row r="119" spans="1:8" x14ac:dyDescent="0.25">
      <c r="A119">
        <v>2008</v>
      </c>
      <c r="B119">
        <v>138</v>
      </c>
      <c r="C119" t="s">
        <v>15</v>
      </c>
      <c r="D119" t="s">
        <v>7</v>
      </c>
      <c r="E119" s="3">
        <v>0.93339327968358998</v>
      </c>
      <c r="F119" s="3">
        <v>0.74432607679842167</v>
      </c>
      <c r="G119">
        <f t="shared" si="2"/>
        <v>0.63600000000000001</v>
      </c>
      <c r="H119">
        <f t="shared" si="3"/>
        <v>0.65100000000000002</v>
      </c>
    </row>
    <row r="120" spans="1:8" x14ac:dyDescent="0.25">
      <c r="A120">
        <v>2009</v>
      </c>
      <c r="B120">
        <v>201</v>
      </c>
      <c r="C120" t="s">
        <v>9</v>
      </c>
      <c r="D120" t="s">
        <v>13</v>
      </c>
      <c r="E120" s="3">
        <v>0.99</v>
      </c>
      <c r="F120" s="3">
        <v>0.22438188279085836</v>
      </c>
      <c r="G120">
        <f t="shared" si="2"/>
        <v>0.70330000000000004</v>
      </c>
      <c r="H120">
        <f t="shared" si="3"/>
        <v>2.2469999999999999</v>
      </c>
    </row>
    <row r="121" spans="1:8" x14ac:dyDescent="0.25">
      <c r="A121">
        <v>2009</v>
      </c>
      <c r="B121">
        <v>202</v>
      </c>
      <c r="C121" t="s">
        <v>12</v>
      </c>
      <c r="D121" t="s">
        <v>7</v>
      </c>
      <c r="E121" s="3">
        <v>0.58567851135134696</v>
      </c>
      <c r="F121" s="3">
        <v>0.54066819129018129</v>
      </c>
      <c r="G121">
        <f t="shared" si="2"/>
        <v>0.53820000000000001</v>
      </c>
      <c r="H121">
        <f t="shared" si="3"/>
        <v>1.1639999999999999</v>
      </c>
    </row>
    <row r="122" spans="1:8" x14ac:dyDescent="0.25">
      <c r="A122">
        <v>2009</v>
      </c>
      <c r="B122">
        <v>205</v>
      </c>
      <c r="C122" t="s">
        <v>6</v>
      </c>
      <c r="D122" t="s">
        <v>7</v>
      </c>
      <c r="E122" s="3">
        <v>0.23039194959998133</v>
      </c>
      <c r="F122" s="3">
        <v>0.52771465447406485</v>
      </c>
      <c r="G122">
        <f t="shared" si="2"/>
        <v>0.53820000000000001</v>
      </c>
      <c r="H122">
        <f t="shared" si="3"/>
        <v>4.1470000000000002</v>
      </c>
    </row>
    <row r="123" spans="1:8" x14ac:dyDescent="0.25">
      <c r="A123">
        <v>2009</v>
      </c>
      <c r="B123">
        <v>206</v>
      </c>
      <c r="C123" t="s">
        <v>6</v>
      </c>
      <c r="D123" t="s">
        <v>7</v>
      </c>
      <c r="E123" s="3">
        <v>0.69939738728702072</v>
      </c>
      <c r="F123" s="3">
        <v>0.85869526296473697</v>
      </c>
      <c r="G123">
        <f t="shared" si="2"/>
        <v>0.53820000000000001</v>
      </c>
      <c r="H123">
        <f t="shared" si="3"/>
        <v>4.1470000000000002</v>
      </c>
    </row>
    <row r="124" spans="1:8" x14ac:dyDescent="0.25">
      <c r="A124">
        <v>2009</v>
      </c>
      <c r="B124">
        <v>209</v>
      </c>
      <c r="C124" t="s">
        <v>11</v>
      </c>
      <c r="D124" t="s">
        <v>7</v>
      </c>
      <c r="E124" s="3">
        <v>0.78480637878179549</v>
      </c>
      <c r="F124" s="3">
        <v>0.61585234327183769</v>
      </c>
      <c r="G124">
        <f t="shared" si="2"/>
        <v>0.53820000000000001</v>
      </c>
      <c r="H124">
        <f t="shared" si="3"/>
        <v>2.9630000000000001</v>
      </c>
    </row>
    <row r="125" spans="1:8" x14ac:dyDescent="0.25">
      <c r="A125">
        <v>2009</v>
      </c>
      <c r="B125">
        <v>210</v>
      </c>
      <c r="C125" t="s">
        <v>9</v>
      </c>
      <c r="D125" t="s">
        <v>7</v>
      </c>
      <c r="E125" s="3">
        <v>0.93517515173673627</v>
      </c>
      <c r="F125" s="3">
        <v>0.72527069986236237</v>
      </c>
      <c r="G125">
        <f t="shared" si="2"/>
        <v>0.53820000000000001</v>
      </c>
      <c r="H125">
        <f t="shared" si="3"/>
        <v>2.2469999999999999</v>
      </c>
    </row>
    <row r="126" spans="1:8" x14ac:dyDescent="0.25">
      <c r="A126">
        <v>2009</v>
      </c>
      <c r="B126">
        <v>211</v>
      </c>
      <c r="C126" t="s">
        <v>12</v>
      </c>
      <c r="D126" t="s">
        <v>10</v>
      </c>
      <c r="E126" s="3">
        <v>0.61824803304672238</v>
      </c>
      <c r="F126" s="3">
        <v>0.7052215135721227</v>
      </c>
      <c r="G126">
        <f t="shared" si="2"/>
        <v>0.36450000000000005</v>
      </c>
      <c r="H126">
        <f t="shared" si="3"/>
        <v>1.1639999999999999</v>
      </c>
    </row>
    <row r="127" spans="1:8" x14ac:dyDescent="0.25">
      <c r="A127">
        <v>2009</v>
      </c>
      <c r="B127">
        <v>212</v>
      </c>
      <c r="C127" t="s">
        <v>11</v>
      </c>
      <c r="D127" t="s">
        <v>7</v>
      </c>
      <c r="E127" s="3">
        <v>0.43045723815798764</v>
      </c>
      <c r="F127" s="3">
        <v>0.67285132907658385</v>
      </c>
      <c r="G127">
        <f t="shared" si="2"/>
        <v>0.53820000000000001</v>
      </c>
      <c r="H127">
        <f t="shared" si="3"/>
        <v>2.9630000000000001</v>
      </c>
    </row>
    <row r="128" spans="1:8" x14ac:dyDescent="0.25">
      <c r="A128">
        <v>2009</v>
      </c>
      <c r="B128">
        <v>215</v>
      </c>
      <c r="C128" t="s">
        <v>9</v>
      </c>
      <c r="D128" t="s">
        <v>7</v>
      </c>
      <c r="E128" s="3">
        <v>0.25063029731750486</v>
      </c>
      <c r="F128" s="3">
        <v>0.38798333067414781</v>
      </c>
      <c r="G128">
        <f t="shared" si="2"/>
        <v>0.53820000000000001</v>
      </c>
      <c r="H128">
        <f t="shared" si="3"/>
        <v>2.2469999999999999</v>
      </c>
    </row>
    <row r="129" spans="1:8" x14ac:dyDescent="0.25">
      <c r="A129">
        <v>2009</v>
      </c>
      <c r="B129">
        <v>217</v>
      </c>
      <c r="C129" t="s">
        <v>11</v>
      </c>
      <c r="D129" t="s">
        <v>13</v>
      </c>
      <c r="E129" s="3">
        <v>0.99</v>
      </c>
      <c r="F129" s="3">
        <v>0.86532215976236571</v>
      </c>
      <c r="G129">
        <f t="shared" si="2"/>
        <v>0.70330000000000004</v>
      </c>
      <c r="H129">
        <f t="shared" si="3"/>
        <v>2.9630000000000001</v>
      </c>
    </row>
    <row r="130" spans="1:8" x14ac:dyDescent="0.25">
      <c r="A130">
        <v>2009</v>
      </c>
      <c r="B130">
        <v>221</v>
      </c>
      <c r="C130" t="s">
        <v>16</v>
      </c>
      <c r="D130" t="s">
        <v>7</v>
      </c>
      <c r="E130" s="3">
        <v>0.98182044752299791</v>
      </c>
      <c r="F130" s="3">
        <v>0.89541245407618697</v>
      </c>
      <c r="G130">
        <f t="shared" si="2"/>
        <v>0.53820000000000001</v>
      </c>
      <c r="H130">
        <f t="shared" si="3"/>
        <v>3.0710000000000002</v>
      </c>
    </row>
    <row r="131" spans="1:8" x14ac:dyDescent="0.25">
      <c r="A131">
        <v>2009</v>
      </c>
      <c r="B131">
        <v>221</v>
      </c>
      <c r="C131" t="s">
        <v>16</v>
      </c>
      <c r="D131" t="s">
        <v>13</v>
      </c>
      <c r="E131" s="3">
        <v>0.99</v>
      </c>
      <c r="F131" s="3">
        <v>0.89541245407618697</v>
      </c>
      <c r="G131">
        <f t="shared" ref="G131:G194" si="4">VLOOKUP(D131,J$3:M$6,A131-2005,0)</f>
        <v>0.70330000000000004</v>
      </c>
      <c r="H131">
        <f t="shared" ref="H131:H194" si="5">VLOOKUP(C131,J$10:M$16,A131-2005,0)</f>
        <v>3.0710000000000002</v>
      </c>
    </row>
    <row r="132" spans="1:8" x14ac:dyDescent="0.25">
      <c r="A132">
        <v>2009</v>
      </c>
      <c r="B132">
        <v>222</v>
      </c>
      <c r="C132" t="s">
        <v>11</v>
      </c>
      <c r="D132" t="s">
        <v>7</v>
      </c>
      <c r="E132" s="3">
        <v>0.7603440144610405</v>
      </c>
      <c r="F132" s="3">
        <v>0.90671223734972717</v>
      </c>
      <c r="G132">
        <f t="shared" si="4"/>
        <v>0.53820000000000001</v>
      </c>
      <c r="H132">
        <f t="shared" si="5"/>
        <v>2.9630000000000001</v>
      </c>
    </row>
    <row r="133" spans="1:8" x14ac:dyDescent="0.25">
      <c r="A133">
        <v>2009</v>
      </c>
      <c r="B133">
        <v>224</v>
      </c>
      <c r="C133" t="s">
        <v>15</v>
      </c>
      <c r="D133" t="s">
        <v>7</v>
      </c>
      <c r="E133" s="3">
        <v>0.67943664043664931</v>
      </c>
      <c r="F133" s="3">
        <v>0.48749270151105384</v>
      </c>
      <c r="G133">
        <f t="shared" si="4"/>
        <v>0.53820000000000001</v>
      </c>
      <c r="H133">
        <f t="shared" si="5"/>
        <v>3.7829999999999999</v>
      </c>
    </row>
    <row r="134" spans="1:8" x14ac:dyDescent="0.25">
      <c r="A134">
        <v>2009</v>
      </c>
      <c r="B134">
        <v>224</v>
      </c>
      <c r="C134" t="s">
        <v>15</v>
      </c>
      <c r="D134" t="s">
        <v>13</v>
      </c>
      <c r="E134" s="3">
        <v>0.97317630173921588</v>
      </c>
      <c r="F134" s="3">
        <v>0.48749270151105384</v>
      </c>
      <c r="G134">
        <f t="shared" si="4"/>
        <v>0.70330000000000004</v>
      </c>
      <c r="H134">
        <f t="shared" si="5"/>
        <v>3.7829999999999999</v>
      </c>
    </row>
    <row r="135" spans="1:8" x14ac:dyDescent="0.25">
      <c r="A135">
        <v>2009</v>
      </c>
      <c r="B135">
        <v>225</v>
      </c>
      <c r="C135" t="s">
        <v>15</v>
      </c>
      <c r="D135" t="s">
        <v>13</v>
      </c>
      <c r="E135" s="3">
        <v>0.71267708486318593</v>
      </c>
      <c r="F135" s="3">
        <v>0.14624804611442507</v>
      </c>
      <c r="G135">
        <f t="shared" si="4"/>
        <v>0.70330000000000004</v>
      </c>
      <c r="H135">
        <f t="shared" si="5"/>
        <v>3.7829999999999999</v>
      </c>
    </row>
    <row r="136" spans="1:8" x14ac:dyDescent="0.25">
      <c r="A136">
        <v>2009</v>
      </c>
      <c r="B136">
        <v>226</v>
      </c>
      <c r="C136" t="s">
        <v>6</v>
      </c>
      <c r="D136" t="s">
        <v>8</v>
      </c>
      <c r="E136" s="3">
        <v>0.14318039369583135</v>
      </c>
      <c r="F136" s="3">
        <v>0.65942848023806511</v>
      </c>
      <c r="G136">
        <f t="shared" si="4"/>
        <v>0.71150000000000002</v>
      </c>
      <c r="H136">
        <f t="shared" si="5"/>
        <v>4.1470000000000002</v>
      </c>
    </row>
    <row r="137" spans="1:8" x14ac:dyDescent="0.25">
      <c r="A137">
        <v>2009</v>
      </c>
      <c r="B137">
        <v>227</v>
      </c>
      <c r="C137" t="s">
        <v>6</v>
      </c>
      <c r="D137" t="s">
        <v>7</v>
      </c>
      <c r="E137" s="3">
        <v>0.63582589613199236</v>
      </c>
      <c r="F137" s="3">
        <v>0.9084018999112119</v>
      </c>
      <c r="G137">
        <f t="shared" si="4"/>
        <v>0.53820000000000001</v>
      </c>
      <c r="H137">
        <f t="shared" si="5"/>
        <v>4.1470000000000002</v>
      </c>
    </row>
    <row r="138" spans="1:8" x14ac:dyDescent="0.25">
      <c r="A138">
        <v>2009</v>
      </c>
      <c r="B138">
        <v>228</v>
      </c>
      <c r="C138" t="s">
        <v>9</v>
      </c>
      <c r="D138" t="s">
        <v>13</v>
      </c>
      <c r="E138" s="3">
        <v>0.78704977840423584</v>
      </c>
      <c r="F138" s="3">
        <v>0.85230540123261012</v>
      </c>
      <c r="G138">
        <f t="shared" si="4"/>
        <v>0.70330000000000004</v>
      </c>
      <c r="H138">
        <f t="shared" si="5"/>
        <v>2.2469999999999999</v>
      </c>
    </row>
    <row r="139" spans="1:8" x14ac:dyDescent="0.25">
      <c r="A139">
        <v>2009</v>
      </c>
      <c r="B139">
        <v>229</v>
      </c>
      <c r="C139" t="s">
        <v>12</v>
      </c>
      <c r="D139" t="s">
        <v>10</v>
      </c>
      <c r="E139" s="3">
        <v>0.7765679498314858</v>
      </c>
      <c r="F139" s="3">
        <v>0.91460344474019262</v>
      </c>
      <c r="G139">
        <f t="shared" si="4"/>
        <v>0.36450000000000005</v>
      </c>
      <c r="H139">
        <f t="shared" si="5"/>
        <v>1.1639999999999999</v>
      </c>
    </row>
    <row r="140" spans="1:8" x14ac:dyDescent="0.25">
      <c r="A140">
        <v>2009</v>
      </c>
      <c r="B140">
        <v>229</v>
      </c>
      <c r="C140" t="s">
        <v>12</v>
      </c>
      <c r="D140" t="s">
        <v>13</v>
      </c>
      <c r="E140" s="3">
        <v>0.99</v>
      </c>
      <c r="F140" s="3">
        <v>0.91460344474019262</v>
      </c>
      <c r="G140">
        <f t="shared" si="4"/>
        <v>0.70330000000000004</v>
      </c>
      <c r="H140">
        <f t="shared" si="5"/>
        <v>1.1639999999999999</v>
      </c>
    </row>
    <row r="141" spans="1:8" x14ac:dyDescent="0.25">
      <c r="A141">
        <v>2009</v>
      </c>
      <c r="B141">
        <v>231</v>
      </c>
      <c r="C141" t="s">
        <v>9</v>
      </c>
      <c r="D141" t="s">
        <v>7</v>
      </c>
      <c r="E141" s="3">
        <v>0.91575934574604034</v>
      </c>
      <c r="F141" s="3">
        <v>0.71125897652776715</v>
      </c>
      <c r="G141">
        <f t="shared" si="4"/>
        <v>0.53820000000000001</v>
      </c>
      <c r="H141">
        <f t="shared" si="5"/>
        <v>2.2469999999999999</v>
      </c>
    </row>
    <row r="142" spans="1:8" x14ac:dyDescent="0.25">
      <c r="A142">
        <v>2009</v>
      </c>
      <c r="B142">
        <v>233</v>
      </c>
      <c r="C142" t="s">
        <v>9</v>
      </c>
      <c r="D142" t="s">
        <v>7</v>
      </c>
      <c r="E142" s="3">
        <v>0.86651436722278596</v>
      </c>
      <c r="F142" s="3">
        <v>0.48226603827242837</v>
      </c>
      <c r="G142">
        <f t="shared" si="4"/>
        <v>0.53820000000000001</v>
      </c>
      <c r="H142">
        <f t="shared" si="5"/>
        <v>2.2469999999999999</v>
      </c>
    </row>
    <row r="143" spans="1:8" x14ac:dyDescent="0.25">
      <c r="A143">
        <v>2009</v>
      </c>
      <c r="B143">
        <v>235</v>
      </c>
      <c r="C143" t="s">
        <v>11</v>
      </c>
      <c r="D143" t="s">
        <v>7</v>
      </c>
      <c r="E143" s="3">
        <v>0.23971494150161743</v>
      </c>
      <c r="F143" s="3">
        <v>0.75</v>
      </c>
      <c r="G143">
        <f t="shared" si="4"/>
        <v>0.53820000000000001</v>
      </c>
      <c r="H143">
        <f t="shared" si="5"/>
        <v>2.9630000000000001</v>
      </c>
    </row>
    <row r="144" spans="1:8" x14ac:dyDescent="0.25">
      <c r="A144">
        <v>2009</v>
      </c>
      <c r="B144">
        <v>237</v>
      </c>
      <c r="C144" t="s">
        <v>15</v>
      </c>
      <c r="D144" t="s">
        <v>7</v>
      </c>
      <c r="E144" s="3">
        <v>0.92369942393302917</v>
      </c>
      <c r="F144" s="3">
        <v>0.54253303055644531</v>
      </c>
      <c r="G144">
        <f t="shared" si="4"/>
        <v>0.53820000000000001</v>
      </c>
      <c r="H144">
        <f t="shared" si="5"/>
        <v>3.7829999999999999</v>
      </c>
    </row>
    <row r="145" spans="1:8" x14ac:dyDescent="0.25">
      <c r="A145">
        <v>2009</v>
      </c>
      <c r="B145">
        <v>237</v>
      </c>
      <c r="C145" t="s">
        <v>15</v>
      </c>
      <c r="D145" t="s">
        <v>13</v>
      </c>
      <c r="E145" s="3">
        <v>0.85660303068161014</v>
      </c>
      <c r="F145" s="3">
        <v>0.54253303055644531</v>
      </c>
      <c r="G145">
        <f t="shared" si="4"/>
        <v>0.70330000000000004</v>
      </c>
      <c r="H145">
        <f t="shared" si="5"/>
        <v>3.7829999999999999</v>
      </c>
    </row>
    <row r="146" spans="1:8" x14ac:dyDescent="0.25">
      <c r="A146">
        <v>2009</v>
      </c>
      <c r="B146">
        <v>238</v>
      </c>
      <c r="C146" t="s">
        <v>15</v>
      </c>
      <c r="D146" t="s">
        <v>7</v>
      </c>
      <c r="E146" s="3">
        <v>0.64501694575607771</v>
      </c>
      <c r="F146" s="3">
        <v>0.90061381188712963</v>
      </c>
      <c r="G146">
        <f t="shared" si="4"/>
        <v>0.53820000000000001</v>
      </c>
      <c r="H146">
        <f t="shared" si="5"/>
        <v>3.7829999999999999</v>
      </c>
    </row>
    <row r="147" spans="1:8" x14ac:dyDescent="0.25">
      <c r="A147">
        <v>2009</v>
      </c>
      <c r="B147">
        <v>238</v>
      </c>
      <c r="C147" t="s">
        <v>15</v>
      </c>
      <c r="D147" t="s">
        <v>13</v>
      </c>
      <c r="E147" s="3">
        <v>0.85198099500536917</v>
      </c>
      <c r="F147" s="3">
        <v>0.90061381188712963</v>
      </c>
      <c r="G147">
        <f t="shared" si="4"/>
        <v>0.70330000000000004</v>
      </c>
      <c r="H147">
        <f t="shared" si="5"/>
        <v>3.7829999999999999</v>
      </c>
    </row>
    <row r="148" spans="1:8" x14ac:dyDescent="0.25">
      <c r="A148">
        <v>2009</v>
      </c>
      <c r="B148">
        <v>239</v>
      </c>
      <c r="C148" t="s">
        <v>6</v>
      </c>
      <c r="D148" t="s">
        <v>7</v>
      </c>
      <c r="E148" s="3">
        <v>0.85134155973196024</v>
      </c>
      <c r="F148" s="3">
        <v>0.66589883362911173</v>
      </c>
      <c r="G148">
        <f t="shared" si="4"/>
        <v>0.53820000000000001</v>
      </c>
      <c r="H148">
        <f t="shared" si="5"/>
        <v>4.1470000000000002</v>
      </c>
    </row>
    <row r="149" spans="1:8" x14ac:dyDescent="0.25">
      <c r="A149">
        <v>2009</v>
      </c>
      <c r="B149">
        <v>240</v>
      </c>
      <c r="C149" t="s">
        <v>6</v>
      </c>
      <c r="D149" t="s">
        <v>7</v>
      </c>
      <c r="E149" s="3">
        <v>0.51029405100047587</v>
      </c>
      <c r="F149" s="3">
        <v>0.65847385618987841</v>
      </c>
      <c r="G149">
        <f t="shared" si="4"/>
        <v>0.53820000000000001</v>
      </c>
      <c r="H149">
        <f t="shared" si="5"/>
        <v>4.1470000000000002</v>
      </c>
    </row>
    <row r="150" spans="1:8" x14ac:dyDescent="0.25">
      <c r="A150">
        <v>2009</v>
      </c>
      <c r="B150">
        <v>242</v>
      </c>
      <c r="C150" t="s">
        <v>12</v>
      </c>
      <c r="D150" t="s">
        <v>7</v>
      </c>
      <c r="E150" s="3">
        <v>8.862982541322717E-2</v>
      </c>
      <c r="F150" s="3">
        <v>0.73895423074298539</v>
      </c>
      <c r="G150">
        <f t="shared" si="4"/>
        <v>0.53820000000000001</v>
      </c>
      <c r="H150">
        <f t="shared" si="5"/>
        <v>1.1639999999999999</v>
      </c>
    </row>
    <row r="151" spans="1:8" x14ac:dyDescent="0.25">
      <c r="A151">
        <v>2009</v>
      </c>
      <c r="B151">
        <v>246</v>
      </c>
      <c r="C151" t="s">
        <v>9</v>
      </c>
      <c r="D151" t="s">
        <v>7</v>
      </c>
      <c r="E151" s="3">
        <v>0.49263186832070349</v>
      </c>
      <c r="F151" s="3">
        <v>0.25038502386258227</v>
      </c>
      <c r="G151">
        <f t="shared" si="4"/>
        <v>0.53820000000000001</v>
      </c>
      <c r="H151">
        <f t="shared" si="5"/>
        <v>2.2469999999999999</v>
      </c>
    </row>
    <row r="152" spans="1:8" x14ac:dyDescent="0.25">
      <c r="A152">
        <v>2009</v>
      </c>
      <c r="B152">
        <v>247</v>
      </c>
      <c r="C152" t="s">
        <v>12</v>
      </c>
      <c r="D152" t="s">
        <v>7</v>
      </c>
      <c r="E152" s="3">
        <v>0.35819228177070617</v>
      </c>
      <c r="F152" s="3">
        <v>0.44450365524890256</v>
      </c>
      <c r="G152">
        <f t="shared" si="4"/>
        <v>0.53820000000000001</v>
      </c>
      <c r="H152">
        <f t="shared" si="5"/>
        <v>1.1639999999999999</v>
      </c>
    </row>
    <row r="153" spans="1:8" x14ac:dyDescent="0.25">
      <c r="A153">
        <v>2009</v>
      </c>
      <c r="B153">
        <v>249</v>
      </c>
      <c r="C153" t="s">
        <v>9</v>
      </c>
      <c r="D153" t="s">
        <v>13</v>
      </c>
      <c r="E153" s="3">
        <v>0.97717274736881254</v>
      </c>
      <c r="F153" s="3">
        <v>0.673614494924342</v>
      </c>
      <c r="G153">
        <f t="shared" si="4"/>
        <v>0.70330000000000004</v>
      </c>
      <c r="H153">
        <f t="shared" si="5"/>
        <v>2.2469999999999999</v>
      </c>
    </row>
    <row r="154" spans="1:8" x14ac:dyDescent="0.25">
      <c r="A154">
        <v>2009</v>
      </c>
      <c r="B154">
        <v>250</v>
      </c>
      <c r="C154" t="s">
        <v>15</v>
      </c>
      <c r="D154" t="s">
        <v>7</v>
      </c>
      <c r="E154" s="3">
        <v>0.32371388404965407</v>
      </c>
      <c r="F154" s="3">
        <v>0.43904864695045831</v>
      </c>
      <c r="G154">
        <f t="shared" si="4"/>
        <v>0.53820000000000001</v>
      </c>
      <c r="H154">
        <f t="shared" si="5"/>
        <v>3.7829999999999999</v>
      </c>
    </row>
    <row r="155" spans="1:8" x14ac:dyDescent="0.25">
      <c r="A155">
        <v>2009</v>
      </c>
      <c r="B155">
        <v>251</v>
      </c>
      <c r="C155" t="s">
        <v>15</v>
      </c>
      <c r="D155" t="s">
        <v>7</v>
      </c>
      <c r="E155" s="3">
        <v>0.66207795114219192</v>
      </c>
      <c r="F155" s="3">
        <v>0.35942784034876663</v>
      </c>
      <c r="G155">
        <f t="shared" si="4"/>
        <v>0.53820000000000001</v>
      </c>
      <c r="H155">
        <f t="shared" si="5"/>
        <v>3.7829999999999999</v>
      </c>
    </row>
    <row r="156" spans="1:8" x14ac:dyDescent="0.25">
      <c r="A156">
        <v>2009</v>
      </c>
      <c r="B156">
        <v>252</v>
      </c>
      <c r="C156" t="s">
        <v>6</v>
      </c>
      <c r="D156" t="s">
        <v>7</v>
      </c>
      <c r="E156" s="3">
        <v>0.95300739255666733</v>
      </c>
      <c r="F156" s="3">
        <v>0.24697151025476613</v>
      </c>
      <c r="G156">
        <f t="shared" si="4"/>
        <v>0.53820000000000001</v>
      </c>
      <c r="H156">
        <f t="shared" si="5"/>
        <v>4.1470000000000002</v>
      </c>
    </row>
    <row r="157" spans="1:8" x14ac:dyDescent="0.25">
      <c r="A157">
        <v>2009</v>
      </c>
      <c r="B157">
        <v>254</v>
      </c>
      <c r="C157" t="s">
        <v>9</v>
      </c>
      <c r="D157" t="s">
        <v>8</v>
      </c>
      <c r="E157" s="3">
        <v>0.19007125760018828</v>
      </c>
      <c r="F157" s="3">
        <v>0.21715760377228188</v>
      </c>
      <c r="G157">
        <f t="shared" si="4"/>
        <v>0.71150000000000002</v>
      </c>
      <c r="H157">
        <f t="shared" si="5"/>
        <v>2.2469999999999999</v>
      </c>
    </row>
    <row r="158" spans="1:8" x14ac:dyDescent="0.25">
      <c r="A158">
        <v>2009</v>
      </c>
      <c r="B158">
        <v>255</v>
      </c>
      <c r="C158" t="s">
        <v>12</v>
      </c>
      <c r="D158" t="s">
        <v>13</v>
      </c>
      <c r="E158" s="3">
        <v>0.36671762282848364</v>
      </c>
      <c r="F158" s="3">
        <v>0.40926759385623701</v>
      </c>
      <c r="G158">
        <f t="shared" si="4"/>
        <v>0.70330000000000004</v>
      </c>
      <c r="H158">
        <f t="shared" si="5"/>
        <v>1.1639999999999999</v>
      </c>
    </row>
    <row r="159" spans="1:8" x14ac:dyDescent="0.25">
      <c r="A159">
        <v>2009</v>
      </c>
      <c r="B159">
        <v>256</v>
      </c>
      <c r="C159" t="s">
        <v>11</v>
      </c>
      <c r="D159" t="s">
        <v>7</v>
      </c>
      <c r="E159" s="3">
        <v>0.94242872112989429</v>
      </c>
      <c r="F159" s="3">
        <v>0.2678318466214501</v>
      </c>
      <c r="G159">
        <f t="shared" si="4"/>
        <v>0.53820000000000001</v>
      </c>
      <c r="H159">
        <f t="shared" si="5"/>
        <v>2.9630000000000001</v>
      </c>
    </row>
    <row r="160" spans="1:8" x14ac:dyDescent="0.25">
      <c r="A160">
        <v>2009</v>
      </c>
      <c r="B160">
        <v>257</v>
      </c>
      <c r="C160" t="s">
        <v>9</v>
      </c>
      <c r="D160" t="s">
        <v>7</v>
      </c>
      <c r="E160" s="3">
        <v>0.95046839225769042</v>
      </c>
      <c r="F160" s="3">
        <v>0.4172269043748118</v>
      </c>
      <c r="G160">
        <f t="shared" si="4"/>
        <v>0.53820000000000001</v>
      </c>
      <c r="H160">
        <f t="shared" si="5"/>
        <v>2.2469999999999999</v>
      </c>
    </row>
    <row r="161" spans="1:8" x14ac:dyDescent="0.25">
      <c r="A161">
        <v>2009</v>
      </c>
      <c r="B161">
        <v>258</v>
      </c>
      <c r="C161" t="s">
        <v>6</v>
      </c>
      <c r="D161" t="s">
        <v>13</v>
      </c>
      <c r="E161" s="3">
        <v>0.76547121615111835</v>
      </c>
      <c r="F161" s="3">
        <v>0.59756763570141114</v>
      </c>
      <c r="G161">
        <f t="shared" si="4"/>
        <v>0.70330000000000004</v>
      </c>
      <c r="H161">
        <f t="shared" si="5"/>
        <v>4.1470000000000002</v>
      </c>
    </row>
    <row r="162" spans="1:8" x14ac:dyDescent="0.25">
      <c r="A162">
        <v>2009</v>
      </c>
      <c r="B162">
        <v>259</v>
      </c>
      <c r="C162" t="s">
        <v>9</v>
      </c>
      <c r="D162" t="s">
        <v>10</v>
      </c>
      <c r="E162" s="3">
        <v>0.7960560518431663</v>
      </c>
      <c r="F162" s="3">
        <v>0.70146026990053167</v>
      </c>
      <c r="G162">
        <f t="shared" si="4"/>
        <v>0.36450000000000005</v>
      </c>
      <c r="H162">
        <f t="shared" si="5"/>
        <v>2.2469999999999999</v>
      </c>
    </row>
    <row r="163" spans="1:8" x14ac:dyDescent="0.25">
      <c r="A163">
        <v>2009</v>
      </c>
      <c r="B163">
        <v>261</v>
      </c>
      <c r="C163" t="s">
        <v>11</v>
      </c>
      <c r="D163" t="s">
        <v>13</v>
      </c>
      <c r="E163" s="3">
        <v>0.95242508366703982</v>
      </c>
      <c r="F163" s="3">
        <v>0.98756027950686076</v>
      </c>
      <c r="G163">
        <f t="shared" si="4"/>
        <v>0.70330000000000004</v>
      </c>
      <c r="H163">
        <f t="shared" si="5"/>
        <v>2.9630000000000001</v>
      </c>
    </row>
    <row r="164" spans="1:8" x14ac:dyDescent="0.25">
      <c r="A164">
        <v>2009</v>
      </c>
      <c r="B164">
        <v>262</v>
      </c>
      <c r="C164" t="s">
        <v>9</v>
      </c>
      <c r="D164" t="s">
        <v>10</v>
      </c>
      <c r="E164" s="3">
        <v>0.26890961222171783</v>
      </c>
      <c r="F164" s="3">
        <v>0.29899922052295735</v>
      </c>
      <c r="G164">
        <f t="shared" si="4"/>
        <v>0.36450000000000005</v>
      </c>
      <c r="H164">
        <f t="shared" si="5"/>
        <v>2.2469999999999999</v>
      </c>
    </row>
    <row r="165" spans="1:8" x14ac:dyDescent="0.25">
      <c r="A165">
        <v>2009</v>
      </c>
      <c r="B165">
        <v>263</v>
      </c>
      <c r="C165" t="s">
        <v>15</v>
      </c>
      <c r="D165" t="s">
        <v>7</v>
      </c>
      <c r="E165" s="3">
        <v>0.71268552166223531</v>
      </c>
      <c r="F165" s="3">
        <v>0.59068313439824016</v>
      </c>
      <c r="G165">
        <f t="shared" si="4"/>
        <v>0.53820000000000001</v>
      </c>
      <c r="H165">
        <f t="shared" si="5"/>
        <v>3.7829999999999999</v>
      </c>
    </row>
    <row r="166" spans="1:8" x14ac:dyDescent="0.25">
      <c r="A166">
        <v>2009</v>
      </c>
      <c r="B166">
        <v>264</v>
      </c>
      <c r="C166" t="s">
        <v>15</v>
      </c>
      <c r="D166" t="s">
        <v>7</v>
      </c>
      <c r="E166" s="3">
        <v>0.95202806037664411</v>
      </c>
      <c r="F166" s="3">
        <v>0.80162848822914079</v>
      </c>
      <c r="G166">
        <f t="shared" si="4"/>
        <v>0.53820000000000001</v>
      </c>
      <c r="H166">
        <f t="shared" si="5"/>
        <v>3.7829999999999999</v>
      </c>
    </row>
    <row r="167" spans="1:8" x14ac:dyDescent="0.25">
      <c r="A167">
        <v>2009</v>
      </c>
      <c r="B167">
        <v>265</v>
      </c>
      <c r="C167" t="s">
        <v>6</v>
      </c>
      <c r="D167" t="s">
        <v>10</v>
      </c>
      <c r="E167" s="3">
        <v>0.70312559947967523</v>
      </c>
      <c r="F167" s="3">
        <v>0.73723254419325734</v>
      </c>
      <c r="G167">
        <f t="shared" si="4"/>
        <v>0.36450000000000005</v>
      </c>
      <c r="H167">
        <f t="shared" si="5"/>
        <v>4.1470000000000002</v>
      </c>
    </row>
    <row r="168" spans="1:8" x14ac:dyDescent="0.25">
      <c r="A168">
        <v>2009</v>
      </c>
      <c r="B168">
        <v>265</v>
      </c>
      <c r="C168" t="s">
        <v>6</v>
      </c>
      <c r="D168" t="s">
        <v>7</v>
      </c>
      <c r="E168" s="3">
        <v>0.77991677657961844</v>
      </c>
      <c r="F168" s="3">
        <v>0.73723254419325734</v>
      </c>
      <c r="G168">
        <f t="shared" si="4"/>
        <v>0.53820000000000001</v>
      </c>
      <c r="H168">
        <f t="shared" si="5"/>
        <v>4.1470000000000002</v>
      </c>
    </row>
    <row r="169" spans="1:8" x14ac:dyDescent="0.25">
      <c r="A169">
        <v>2009</v>
      </c>
      <c r="B169">
        <v>268</v>
      </c>
      <c r="C169" t="s">
        <v>11</v>
      </c>
      <c r="D169" t="s">
        <v>7</v>
      </c>
      <c r="E169" s="3">
        <v>0.86799467037558553</v>
      </c>
      <c r="F169" s="3">
        <v>0.20755952822252047</v>
      </c>
      <c r="G169">
        <f t="shared" si="4"/>
        <v>0.53820000000000001</v>
      </c>
      <c r="H169">
        <f t="shared" si="5"/>
        <v>2.9630000000000001</v>
      </c>
    </row>
    <row r="170" spans="1:8" x14ac:dyDescent="0.25">
      <c r="A170">
        <v>2009</v>
      </c>
      <c r="B170">
        <v>269</v>
      </c>
      <c r="C170" t="s">
        <v>9</v>
      </c>
      <c r="D170" t="s">
        <v>7</v>
      </c>
      <c r="E170" s="3">
        <v>0.8421996424257755</v>
      </c>
      <c r="F170" s="3">
        <v>0.26449665013351131</v>
      </c>
      <c r="G170">
        <f t="shared" si="4"/>
        <v>0.53820000000000001</v>
      </c>
      <c r="H170">
        <f t="shared" si="5"/>
        <v>2.2469999999999999</v>
      </c>
    </row>
    <row r="171" spans="1:8" x14ac:dyDescent="0.25">
      <c r="A171">
        <v>2009</v>
      </c>
      <c r="B171">
        <v>270</v>
      </c>
      <c r="C171" t="s">
        <v>6</v>
      </c>
      <c r="D171" t="s">
        <v>10</v>
      </c>
      <c r="E171" s="3">
        <v>3.6812083983421395E-2</v>
      </c>
      <c r="F171" s="3">
        <v>0.38179100618990275</v>
      </c>
      <c r="G171">
        <f t="shared" si="4"/>
        <v>0.36450000000000005</v>
      </c>
      <c r="H171">
        <f t="shared" si="5"/>
        <v>4.1470000000000002</v>
      </c>
    </row>
    <row r="172" spans="1:8" x14ac:dyDescent="0.25">
      <c r="A172">
        <v>2009</v>
      </c>
      <c r="B172">
        <v>270</v>
      </c>
      <c r="C172" t="s">
        <v>6</v>
      </c>
      <c r="D172" t="s">
        <v>13</v>
      </c>
      <c r="E172" s="3">
        <v>0.3598488928496838</v>
      </c>
      <c r="F172" s="3">
        <v>0.38179100618990275</v>
      </c>
      <c r="G172">
        <f t="shared" si="4"/>
        <v>0.70330000000000004</v>
      </c>
      <c r="H172">
        <f t="shared" si="5"/>
        <v>4.1470000000000002</v>
      </c>
    </row>
    <row r="173" spans="1:8" x14ac:dyDescent="0.25">
      <c r="A173">
        <v>2009</v>
      </c>
      <c r="B173">
        <v>271</v>
      </c>
      <c r="C173" t="s">
        <v>16</v>
      </c>
      <c r="D173" t="s">
        <v>7</v>
      </c>
      <c r="E173" s="3">
        <v>0.8537117346781492</v>
      </c>
      <c r="F173" s="3">
        <v>0.34853039017747545</v>
      </c>
      <c r="G173">
        <f t="shared" si="4"/>
        <v>0.53820000000000001</v>
      </c>
      <c r="H173">
        <f t="shared" si="5"/>
        <v>3.0710000000000002</v>
      </c>
    </row>
    <row r="174" spans="1:8" x14ac:dyDescent="0.25">
      <c r="A174">
        <v>2009</v>
      </c>
      <c r="B174">
        <v>272</v>
      </c>
      <c r="C174" t="s">
        <v>12</v>
      </c>
      <c r="D174" t="s">
        <v>7</v>
      </c>
      <c r="E174" s="3">
        <v>0.75894079088091848</v>
      </c>
      <c r="F174" s="3">
        <v>0.77722243634209653</v>
      </c>
      <c r="G174">
        <f t="shared" si="4"/>
        <v>0.53820000000000001</v>
      </c>
      <c r="H174">
        <f t="shared" si="5"/>
        <v>1.1639999999999999</v>
      </c>
    </row>
    <row r="175" spans="1:8" x14ac:dyDescent="0.25">
      <c r="A175">
        <v>2009</v>
      </c>
      <c r="B175">
        <v>274</v>
      </c>
      <c r="C175" t="s">
        <v>9</v>
      </c>
      <c r="D175" t="s">
        <v>13</v>
      </c>
      <c r="E175" s="3">
        <v>0.63494362397372717</v>
      </c>
      <c r="F175" s="3">
        <v>0.28609619222429172</v>
      </c>
      <c r="G175">
        <f t="shared" si="4"/>
        <v>0.70330000000000004</v>
      </c>
      <c r="H175">
        <f t="shared" si="5"/>
        <v>2.2469999999999999</v>
      </c>
    </row>
    <row r="176" spans="1:8" x14ac:dyDescent="0.25">
      <c r="A176">
        <v>2009</v>
      </c>
      <c r="B176">
        <v>276</v>
      </c>
      <c r="C176" t="s">
        <v>15</v>
      </c>
      <c r="D176" t="s">
        <v>13</v>
      </c>
      <c r="E176" s="3">
        <v>0.99</v>
      </c>
      <c r="F176" s="3">
        <v>0.56158195382652365</v>
      </c>
      <c r="G176">
        <f t="shared" si="4"/>
        <v>0.70330000000000004</v>
      </c>
      <c r="H176">
        <f t="shared" si="5"/>
        <v>3.7829999999999999</v>
      </c>
    </row>
    <row r="177" spans="1:8" x14ac:dyDescent="0.25">
      <c r="A177">
        <v>2009</v>
      </c>
      <c r="B177">
        <v>278</v>
      </c>
      <c r="C177" t="s">
        <v>6</v>
      </c>
      <c r="D177" t="s">
        <v>7</v>
      </c>
      <c r="E177" s="3">
        <v>0.39764406023621568</v>
      </c>
      <c r="F177" s="3">
        <v>0.57448477540757747</v>
      </c>
      <c r="G177">
        <f t="shared" si="4"/>
        <v>0.53820000000000001</v>
      </c>
      <c r="H177">
        <f t="shared" si="5"/>
        <v>4.1470000000000002</v>
      </c>
    </row>
    <row r="178" spans="1:8" x14ac:dyDescent="0.25">
      <c r="A178">
        <v>2009</v>
      </c>
      <c r="B178">
        <v>280</v>
      </c>
      <c r="C178" t="s">
        <v>12</v>
      </c>
      <c r="D178" t="s">
        <v>7</v>
      </c>
      <c r="E178" s="3">
        <v>0.44687385060191165</v>
      </c>
      <c r="F178" s="3">
        <v>0.4209525319634887</v>
      </c>
      <c r="G178">
        <f t="shared" si="4"/>
        <v>0.53820000000000001</v>
      </c>
      <c r="H178">
        <f t="shared" si="5"/>
        <v>1.1639999999999999</v>
      </c>
    </row>
    <row r="179" spans="1:8" x14ac:dyDescent="0.25">
      <c r="A179">
        <v>2009</v>
      </c>
      <c r="B179">
        <v>281</v>
      </c>
      <c r="C179" t="s">
        <v>11</v>
      </c>
      <c r="D179" t="s">
        <v>7</v>
      </c>
      <c r="E179" s="3">
        <v>0.63421568502485748</v>
      </c>
      <c r="F179" s="3">
        <v>0.72110379815238079</v>
      </c>
      <c r="G179">
        <f t="shared" si="4"/>
        <v>0.53820000000000001</v>
      </c>
      <c r="H179">
        <f t="shared" si="5"/>
        <v>2.9630000000000001</v>
      </c>
    </row>
    <row r="180" spans="1:8" x14ac:dyDescent="0.25">
      <c r="A180">
        <v>2009</v>
      </c>
      <c r="B180">
        <v>282</v>
      </c>
      <c r="C180" t="s">
        <v>9</v>
      </c>
      <c r="D180" t="s">
        <v>7</v>
      </c>
      <c r="E180" s="3">
        <v>0.52271793007850653</v>
      </c>
      <c r="F180" s="3">
        <v>0.50755831472175283</v>
      </c>
      <c r="G180">
        <f t="shared" si="4"/>
        <v>0.53820000000000001</v>
      </c>
      <c r="H180">
        <f t="shared" si="5"/>
        <v>2.2469999999999999</v>
      </c>
    </row>
    <row r="181" spans="1:8" x14ac:dyDescent="0.25">
      <c r="A181">
        <v>2009</v>
      </c>
      <c r="B181">
        <v>284</v>
      </c>
      <c r="C181" t="s">
        <v>9</v>
      </c>
      <c r="D181" t="s">
        <v>13</v>
      </c>
      <c r="E181" s="3">
        <v>0.95689962032735343</v>
      </c>
      <c r="F181" s="3">
        <v>0.76809214619752908</v>
      </c>
      <c r="G181">
        <f t="shared" si="4"/>
        <v>0.70330000000000004</v>
      </c>
      <c r="H181">
        <f t="shared" si="5"/>
        <v>2.2469999999999999</v>
      </c>
    </row>
    <row r="182" spans="1:8" x14ac:dyDescent="0.25">
      <c r="A182">
        <v>2009</v>
      </c>
      <c r="B182">
        <v>285</v>
      </c>
      <c r="C182" t="s">
        <v>12</v>
      </c>
      <c r="D182" t="s">
        <v>7</v>
      </c>
      <c r="E182" s="3">
        <v>0.6690551691508293</v>
      </c>
      <c r="F182" s="3">
        <v>0.20230739435107328</v>
      </c>
      <c r="G182">
        <f t="shared" si="4"/>
        <v>0.53820000000000001</v>
      </c>
      <c r="H182">
        <f t="shared" si="5"/>
        <v>1.1639999999999999</v>
      </c>
    </row>
    <row r="183" spans="1:8" x14ac:dyDescent="0.25">
      <c r="A183">
        <v>2009</v>
      </c>
      <c r="B183">
        <v>285</v>
      </c>
      <c r="C183" t="s">
        <v>12</v>
      </c>
      <c r="D183" t="s">
        <v>13</v>
      </c>
      <c r="E183" s="3">
        <v>0.75606718490719793</v>
      </c>
      <c r="F183" s="3">
        <v>0.20230739435107328</v>
      </c>
      <c r="G183">
        <f t="shared" si="4"/>
        <v>0.70330000000000004</v>
      </c>
      <c r="H183">
        <f t="shared" si="5"/>
        <v>1.1639999999999999</v>
      </c>
    </row>
    <row r="184" spans="1:8" x14ac:dyDescent="0.25">
      <c r="A184">
        <v>2009</v>
      </c>
      <c r="B184">
        <v>286</v>
      </c>
      <c r="C184" t="s">
        <v>11</v>
      </c>
      <c r="D184" t="s">
        <v>7</v>
      </c>
      <c r="E184" s="3">
        <v>0.93317426457405084</v>
      </c>
      <c r="F184" s="3">
        <v>0.40395245441681715</v>
      </c>
      <c r="G184">
        <f t="shared" si="4"/>
        <v>0.53820000000000001</v>
      </c>
      <c r="H184">
        <f t="shared" si="5"/>
        <v>2.9630000000000001</v>
      </c>
    </row>
    <row r="185" spans="1:8" x14ac:dyDescent="0.25">
      <c r="A185">
        <v>2009</v>
      </c>
      <c r="B185">
        <v>287</v>
      </c>
      <c r="C185" t="s">
        <v>9</v>
      </c>
      <c r="D185" t="s">
        <v>10</v>
      </c>
      <c r="E185" s="3">
        <v>0.80035676061511041</v>
      </c>
      <c r="F185" s="3">
        <v>0.20529730333362298</v>
      </c>
      <c r="G185">
        <f t="shared" si="4"/>
        <v>0.36450000000000005</v>
      </c>
      <c r="H185">
        <f t="shared" si="5"/>
        <v>2.2469999999999999</v>
      </c>
    </row>
    <row r="186" spans="1:8" x14ac:dyDescent="0.25">
      <c r="A186">
        <v>2009</v>
      </c>
      <c r="B186">
        <v>291</v>
      </c>
      <c r="C186" t="s">
        <v>12</v>
      </c>
      <c r="D186" t="s">
        <v>13</v>
      </c>
      <c r="E186" s="3">
        <v>0.99</v>
      </c>
      <c r="F186" s="3">
        <v>0.53293711866719895</v>
      </c>
      <c r="G186">
        <f t="shared" si="4"/>
        <v>0.70330000000000004</v>
      </c>
      <c r="H186">
        <f t="shared" si="5"/>
        <v>1.1639999999999999</v>
      </c>
    </row>
    <row r="187" spans="1:8" x14ac:dyDescent="0.25">
      <c r="A187">
        <v>2009</v>
      </c>
      <c r="B187">
        <v>292</v>
      </c>
      <c r="C187" t="s">
        <v>11</v>
      </c>
      <c r="D187" t="s">
        <v>13</v>
      </c>
      <c r="E187" s="3">
        <v>0.90418335014581674</v>
      </c>
      <c r="F187" s="3">
        <v>0.80430074669163809</v>
      </c>
      <c r="G187">
        <f t="shared" si="4"/>
        <v>0.70330000000000004</v>
      </c>
      <c r="H187">
        <f t="shared" si="5"/>
        <v>2.9630000000000001</v>
      </c>
    </row>
    <row r="188" spans="1:8" x14ac:dyDescent="0.25">
      <c r="A188">
        <v>2009</v>
      </c>
      <c r="B188">
        <v>293</v>
      </c>
      <c r="C188" t="s">
        <v>9</v>
      </c>
      <c r="D188" t="s">
        <v>7</v>
      </c>
      <c r="E188" s="3">
        <v>0.17954934431314473</v>
      </c>
      <c r="F188" s="3">
        <v>0.26</v>
      </c>
      <c r="G188">
        <f t="shared" si="4"/>
        <v>0.53820000000000001</v>
      </c>
      <c r="H188">
        <f t="shared" si="5"/>
        <v>2.2469999999999999</v>
      </c>
    </row>
    <row r="189" spans="1:8" x14ac:dyDescent="0.25">
      <c r="A189">
        <v>2009</v>
      </c>
      <c r="B189">
        <v>294</v>
      </c>
      <c r="C189" t="s">
        <v>6</v>
      </c>
      <c r="D189" t="s">
        <v>7</v>
      </c>
      <c r="E189" s="3">
        <v>0.73442811673939223</v>
      </c>
      <c r="F189" s="3">
        <v>0.15419697176703626</v>
      </c>
      <c r="G189">
        <f t="shared" si="4"/>
        <v>0.53820000000000001</v>
      </c>
      <c r="H189">
        <f t="shared" si="5"/>
        <v>4.1470000000000002</v>
      </c>
    </row>
    <row r="190" spans="1:8" x14ac:dyDescent="0.25">
      <c r="A190">
        <v>2009</v>
      </c>
      <c r="B190">
        <v>296</v>
      </c>
      <c r="C190" t="s">
        <v>16</v>
      </c>
      <c r="D190" t="s">
        <v>7</v>
      </c>
      <c r="E190" s="3">
        <v>0.31161118421554568</v>
      </c>
      <c r="F190" s="3">
        <v>0.83613666139200893</v>
      </c>
      <c r="G190">
        <f t="shared" si="4"/>
        <v>0.53820000000000001</v>
      </c>
      <c r="H190">
        <f t="shared" si="5"/>
        <v>3.0710000000000002</v>
      </c>
    </row>
    <row r="191" spans="1:8" x14ac:dyDescent="0.25">
      <c r="A191">
        <v>2009</v>
      </c>
      <c r="B191">
        <v>297</v>
      </c>
      <c r="C191" t="s">
        <v>11</v>
      </c>
      <c r="D191" t="s">
        <v>10</v>
      </c>
      <c r="E191" s="3">
        <v>0.99</v>
      </c>
      <c r="F191" s="3">
        <v>0.79899392036391048</v>
      </c>
      <c r="G191">
        <f t="shared" si="4"/>
        <v>0.36450000000000005</v>
      </c>
      <c r="H191">
        <f t="shared" si="5"/>
        <v>2.9630000000000001</v>
      </c>
    </row>
    <row r="192" spans="1:8" x14ac:dyDescent="0.25">
      <c r="A192">
        <v>2009</v>
      </c>
      <c r="B192">
        <v>298</v>
      </c>
      <c r="C192" t="s">
        <v>9</v>
      </c>
      <c r="D192" t="s">
        <v>10</v>
      </c>
      <c r="E192" s="3">
        <v>0.97222836809337143</v>
      </c>
      <c r="F192" s="3">
        <v>0.52323991972374306</v>
      </c>
      <c r="G192">
        <f t="shared" si="4"/>
        <v>0.36450000000000005</v>
      </c>
      <c r="H192">
        <f t="shared" si="5"/>
        <v>2.2469999999999999</v>
      </c>
    </row>
    <row r="193" spans="1:8" x14ac:dyDescent="0.25">
      <c r="A193">
        <v>2009</v>
      </c>
      <c r="B193">
        <v>298</v>
      </c>
      <c r="C193" t="s">
        <v>9</v>
      </c>
      <c r="D193" t="s">
        <v>13</v>
      </c>
      <c r="E193" s="3">
        <v>0.99</v>
      </c>
      <c r="F193" s="3">
        <v>0.52323991972374306</v>
      </c>
      <c r="G193">
        <f t="shared" si="4"/>
        <v>0.70330000000000004</v>
      </c>
      <c r="H193">
        <f t="shared" si="5"/>
        <v>2.2469999999999999</v>
      </c>
    </row>
    <row r="194" spans="1:8" x14ac:dyDescent="0.25">
      <c r="A194">
        <v>2009</v>
      </c>
      <c r="B194">
        <v>299</v>
      </c>
      <c r="C194" t="s">
        <v>16</v>
      </c>
      <c r="D194" t="s">
        <v>10</v>
      </c>
      <c r="E194" s="3">
        <v>0.95712530286908148</v>
      </c>
      <c r="F194" s="3">
        <v>0.57425796295392195</v>
      </c>
      <c r="G194">
        <f t="shared" si="4"/>
        <v>0.36450000000000005</v>
      </c>
      <c r="H194">
        <f t="shared" si="5"/>
        <v>3.0710000000000002</v>
      </c>
    </row>
    <row r="195" spans="1:8" x14ac:dyDescent="0.25">
      <c r="A195">
        <v>2009</v>
      </c>
      <c r="B195">
        <v>300</v>
      </c>
      <c r="C195" t="s">
        <v>15</v>
      </c>
      <c r="D195" t="s">
        <v>7</v>
      </c>
      <c r="E195" s="3">
        <v>0.76154080167412763</v>
      </c>
      <c r="F195" s="3">
        <v>0.92330403535137462</v>
      </c>
      <c r="G195">
        <f t="shared" ref="G195:G258" si="6">VLOOKUP(D195,J$3:M$6,A195-2005,0)</f>
        <v>0.53820000000000001</v>
      </c>
      <c r="H195">
        <f t="shared" ref="H195:H258" si="7">VLOOKUP(C195,J$10:M$16,A195-2005,0)</f>
        <v>3.7829999999999999</v>
      </c>
    </row>
    <row r="196" spans="1:8" x14ac:dyDescent="0.25">
      <c r="A196">
        <v>2009</v>
      </c>
      <c r="B196">
        <v>301</v>
      </c>
      <c r="C196" t="s">
        <v>6</v>
      </c>
      <c r="D196" t="s">
        <v>7</v>
      </c>
      <c r="E196" s="3">
        <v>0.55943084918260577</v>
      </c>
      <c r="F196" s="3">
        <v>0.23143630736515952</v>
      </c>
      <c r="G196">
        <f t="shared" si="6"/>
        <v>0.53820000000000001</v>
      </c>
      <c r="H196">
        <f t="shared" si="7"/>
        <v>4.1470000000000002</v>
      </c>
    </row>
    <row r="197" spans="1:8" x14ac:dyDescent="0.25">
      <c r="A197">
        <v>2009</v>
      </c>
      <c r="B197">
        <v>302</v>
      </c>
      <c r="C197" t="s">
        <v>6</v>
      </c>
      <c r="D197" t="s">
        <v>7</v>
      </c>
      <c r="E197" s="3">
        <v>9.6788762124776939E-2</v>
      </c>
      <c r="F197" s="3">
        <v>0.6848675407554724</v>
      </c>
      <c r="G197">
        <f t="shared" si="6"/>
        <v>0.53820000000000001</v>
      </c>
      <c r="H197">
        <f t="shared" si="7"/>
        <v>4.1470000000000002</v>
      </c>
    </row>
    <row r="198" spans="1:8" x14ac:dyDescent="0.25">
      <c r="A198">
        <v>2009</v>
      </c>
      <c r="B198">
        <v>302</v>
      </c>
      <c r="C198" t="s">
        <v>6</v>
      </c>
      <c r="D198" t="s">
        <v>8</v>
      </c>
      <c r="E198" s="3">
        <v>4.2263957858085677E-2</v>
      </c>
      <c r="F198" s="3">
        <v>0.6848675407554724</v>
      </c>
      <c r="G198">
        <f t="shared" si="6"/>
        <v>0.71150000000000002</v>
      </c>
      <c r="H198">
        <f t="shared" si="7"/>
        <v>4.1470000000000002</v>
      </c>
    </row>
    <row r="199" spans="1:8" x14ac:dyDescent="0.25">
      <c r="A199">
        <v>2009</v>
      </c>
      <c r="B199">
        <v>303</v>
      </c>
      <c r="C199" t="s">
        <v>12</v>
      </c>
      <c r="D199" t="s">
        <v>7</v>
      </c>
      <c r="E199" s="3">
        <v>0.57622066753804679</v>
      </c>
      <c r="F199" s="3">
        <v>0.2047471978316206</v>
      </c>
      <c r="G199">
        <f t="shared" si="6"/>
        <v>0.53820000000000001</v>
      </c>
      <c r="H199">
        <f t="shared" si="7"/>
        <v>1.1639999999999999</v>
      </c>
    </row>
    <row r="200" spans="1:8" x14ac:dyDescent="0.25">
      <c r="A200">
        <v>2009</v>
      </c>
      <c r="B200">
        <v>305</v>
      </c>
      <c r="C200" t="s">
        <v>9</v>
      </c>
      <c r="D200" t="s">
        <v>7</v>
      </c>
      <c r="E200" s="3">
        <v>0.80966870975494387</v>
      </c>
      <c r="F200" s="3">
        <v>0.94059006806503898</v>
      </c>
      <c r="G200">
        <f t="shared" si="6"/>
        <v>0.53820000000000001</v>
      </c>
      <c r="H200">
        <f t="shared" si="7"/>
        <v>2.2469999999999999</v>
      </c>
    </row>
    <row r="201" spans="1:8" x14ac:dyDescent="0.25">
      <c r="A201">
        <v>2009</v>
      </c>
      <c r="B201">
        <v>306</v>
      </c>
      <c r="C201" t="s">
        <v>12</v>
      </c>
      <c r="D201" t="s">
        <v>7</v>
      </c>
      <c r="E201" s="3">
        <v>0.71152721018373977</v>
      </c>
      <c r="F201" s="3">
        <v>0.29514580812399216</v>
      </c>
      <c r="G201">
        <f t="shared" si="6"/>
        <v>0.53820000000000001</v>
      </c>
      <c r="H201">
        <f t="shared" si="7"/>
        <v>1.1639999999999999</v>
      </c>
    </row>
    <row r="202" spans="1:8" x14ac:dyDescent="0.25">
      <c r="A202">
        <v>2009</v>
      </c>
      <c r="B202">
        <v>307</v>
      </c>
      <c r="C202" t="s">
        <v>11</v>
      </c>
      <c r="D202" t="s">
        <v>10</v>
      </c>
      <c r="E202" s="3">
        <v>0.01</v>
      </c>
      <c r="F202" s="3">
        <v>0.47996737861227023</v>
      </c>
      <c r="G202">
        <f t="shared" si="6"/>
        <v>0.36450000000000005</v>
      </c>
      <c r="H202">
        <f t="shared" si="7"/>
        <v>2.9630000000000001</v>
      </c>
    </row>
    <row r="203" spans="1:8" x14ac:dyDescent="0.25">
      <c r="A203">
        <v>2009</v>
      </c>
      <c r="B203">
        <v>307</v>
      </c>
      <c r="C203" t="s">
        <v>11</v>
      </c>
      <c r="D203" t="s">
        <v>7</v>
      </c>
      <c r="E203" s="3">
        <v>0.51446560047328482</v>
      </c>
      <c r="F203" s="3">
        <v>0.47996737861227023</v>
      </c>
      <c r="G203">
        <f t="shared" si="6"/>
        <v>0.53820000000000001</v>
      </c>
      <c r="H203">
        <f t="shared" si="7"/>
        <v>2.9630000000000001</v>
      </c>
    </row>
    <row r="204" spans="1:8" x14ac:dyDescent="0.25">
      <c r="A204">
        <v>2009</v>
      </c>
      <c r="B204">
        <v>307</v>
      </c>
      <c r="C204" t="s">
        <v>11</v>
      </c>
      <c r="D204" t="s">
        <v>13</v>
      </c>
      <c r="E204" s="3">
        <v>0.47262039163470271</v>
      </c>
      <c r="F204" s="3">
        <v>0.47996737861227023</v>
      </c>
      <c r="G204">
        <f t="shared" si="6"/>
        <v>0.70330000000000004</v>
      </c>
      <c r="H204">
        <f t="shared" si="7"/>
        <v>2.9630000000000001</v>
      </c>
    </row>
    <row r="205" spans="1:8" x14ac:dyDescent="0.25">
      <c r="A205">
        <v>2009</v>
      </c>
      <c r="B205">
        <v>308</v>
      </c>
      <c r="C205" t="s">
        <v>9</v>
      </c>
      <c r="D205" t="s">
        <v>7</v>
      </c>
      <c r="E205" s="3">
        <v>0.81954076848268509</v>
      </c>
      <c r="F205" s="3">
        <v>0.80250842045017323</v>
      </c>
      <c r="G205">
        <f t="shared" si="6"/>
        <v>0.53820000000000001</v>
      </c>
      <c r="H205">
        <f t="shared" si="7"/>
        <v>2.2469999999999999</v>
      </c>
    </row>
    <row r="206" spans="1:8" x14ac:dyDescent="0.25">
      <c r="A206">
        <v>2009</v>
      </c>
      <c r="B206">
        <v>310</v>
      </c>
      <c r="C206" t="s">
        <v>11</v>
      </c>
      <c r="D206" t="s">
        <v>13</v>
      </c>
      <c r="E206" s="3">
        <v>0.99</v>
      </c>
      <c r="F206" s="3">
        <v>0.86228138746082417</v>
      </c>
      <c r="G206">
        <f t="shared" si="6"/>
        <v>0.70330000000000004</v>
      </c>
      <c r="H206">
        <f t="shared" si="7"/>
        <v>2.9630000000000001</v>
      </c>
    </row>
    <row r="207" spans="1:8" x14ac:dyDescent="0.25">
      <c r="A207">
        <v>2009</v>
      </c>
      <c r="B207">
        <v>311</v>
      </c>
      <c r="C207" t="s">
        <v>6</v>
      </c>
      <c r="D207" t="s">
        <v>7</v>
      </c>
      <c r="E207" s="3">
        <v>0.24217982484698297</v>
      </c>
      <c r="F207" s="3">
        <v>0.48300381772266715</v>
      </c>
      <c r="G207">
        <f t="shared" si="6"/>
        <v>0.53820000000000001</v>
      </c>
      <c r="H207">
        <f t="shared" si="7"/>
        <v>4.1470000000000002</v>
      </c>
    </row>
    <row r="208" spans="1:8" x14ac:dyDescent="0.25">
      <c r="A208">
        <v>2009</v>
      </c>
      <c r="B208">
        <v>314</v>
      </c>
      <c r="C208" t="s">
        <v>12</v>
      </c>
      <c r="D208" t="s">
        <v>7</v>
      </c>
      <c r="E208" s="3">
        <v>0.63734660701751711</v>
      </c>
      <c r="F208" s="3">
        <v>0.18741281127308812</v>
      </c>
      <c r="G208">
        <f t="shared" si="6"/>
        <v>0.53820000000000001</v>
      </c>
      <c r="H208">
        <f t="shared" si="7"/>
        <v>1.1639999999999999</v>
      </c>
    </row>
    <row r="209" spans="1:8" x14ac:dyDescent="0.25">
      <c r="A209">
        <v>2009</v>
      </c>
      <c r="B209">
        <v>315</v>
      </c>
      <c r="C209" t="s">
        <v>11</v>
      </c>
      <c r="D209" t="s">
        <v>10</v>
      </c>
      <c r="E209" s="3">
        <v>0.92386953196525567</v>
      </c>
      <c r="F209" s="3">
        <v>0.25884951558448405</v>
      </c>
      <c r="G209">
        <f t="shared" si="6"/>
        <v>0.36450000000000005</v>
      </c>
      <c r="H209">
        <f t="shared" si="7"/>
        <v>2.9630000000000001</v>
      </c>
    </row>
    <row r="210" spans="1:8" x14ac:dyDescent="0.25">
      <c r="A210">
        <v>2009</v>
      </c>
      <c r="B210">
        <v>316</v>
      </c>
      <c r="C210" t="s">
        <v>9</v>
      </c>
      <c r="D210" t="s">
        <v>7</v>
      </c>
      <c r="E210" s="3">
        <v>0.98082435829639436</v>
      </c>
      <c r="F210" s="3">
        <v>0.66178434072201453</v>
      </c>
      <c r="G210">
        <f t="shared" si="6"/>
        <v>0.53820000000000001</v>
      </c>
      <c r="H210">
        <f t="shared" si="7"/>
        <v>2.2469999999999999</v>
      </c>
    </row>
    <row r="211" spans="1:8" x14ac:dyDescent="0.25">
      <c r="A211">
        <v>2009</v>
      </c>
      <c r="B211">
        <v>317</v>
      </c>
      <c r="C211" t="s">
        <v>6</v>
      </c>
      <c r="D211" t="s">
        <v>7</v>
      </c>
      <c r="E211" s="3">
        <v>0.76209787383675576</v>
      </c>
      <c r="F211" s="3">
        <v>0.37028683989403055</v>
      </c>
      <c r="G211">
        <f t="shared" si="6"/>
        <v>0.53820000000000001</v>
      </c>
      <c r="H211">
        <f t="shared" si="7"/>
        <v>4.1470000000000002</v>
      </c>
    </row>
    <row r="212" spans="1:8" x14ac:dyDescent="0.25">
      <c r="A212">
        <v>2009</v>
      </c>
      <c r="B212">
        <v>318</v>
      </c>
      <c r="C212" t="s">
        <v>9</v>
      </c>
      <c r="D212" t="s">
        <v>13</v>
      </c>
      <c r="E212" s="3">
        <v>0.65374733021259313</v>
      </c>
      <c r="F212" s="3">
        <v>0.7742218751608978</v>
      </c>
      <c r="G212">
        <f t="shared" si="6"/>
        <v>0.70330000000000004</v>
      </c>
      <c r="H212">
        <f t="shared" si="7"/>
        <v>2.2469999999999999</v>
      </c>
    </row>
    <row r="213" spans="1:8" x14ac:dyDescent="0.25">
      <c r="A213">
        <v>2009</v>
      </c>
      <c r="B213">
        <v>319</v>
      </c>
      <c r="C213" t="s">
        <v>12</v>
      </c>
      <c r="D213" t="s">
        <v>10</v>
      </c>
      <c r="E213" s="3">
        <v>0.57599219883203512</v>
      </c>
      <c r="F213" s="3">
        <v>0.64298343381969369</v>
      </c>
      <c r="G213">
        <f t="shared" si="6"/>
        <v>0.36450000000000005</v>
      </c>
      <c r="H213">
        <f t="shared" si="7"/>
        <v>1.1639999999999999</v>
      </c>
    </row>
    <row r="214" spans="1:8" x14ac:dyDescent="0.25">
      <c r="A214">
        <v>2009</v>
      </c>
      <c r="B214">
        <v>319</v>
      </c>
      <c r="C214" t="s">
        <v>12</v>
      </c>
      <c r="D214" t="s">
        <v>7</v>
      </c>
      <c r="E214" s="3">
        <v>0.73792662335932258</v>
      </c>
      <c r="F214" s="3">
        <v>0.64298343381969369</v>
      </c>
      <c r="G214">
        <f t="shared" si="6"/>
        <v>0.53820000000000001</v>
      </c>
      <c r="H214">
        <f t="shared" si="7"/>
        <v>1.1639999999999999</v>
      </c>
    </row>
    <row r="215" spans="1:8" x14ac:dyDescent="0.25">
      <c r="A215">
        <v>2009</v>
      </c>
      <c r="B215">
        <v>320</v>
      </c>
      <c r="C215" t="s">
        <v>11</v>
      </c>
      <c r="D215" t="s">
        <v>8</v>
      </c>
      <c r="E215" s="3">
        <v>0.97807546726405625</v>
      </c>
      <c r="F215" s="3">
        <v>0.7053049625318708</v>
      </c>
      <c r="G215">
        <f t="shared" si="6"/>
        <v>0.71150000000000002</v>
      </c>
      <c r="H215">
        <f t="shared" si="7"/>
        <v>2.9630000000000001</v>
      </c>
    </row>
    <row r="216" spans="1:8" x14ac:dyDescent="0.25">
      <c r="A216">
        <v>2009</v>
      </c>
      <c r="B216">
        <v>321</v>
      </c>
      <c r="C216" t="s">
        <v>9</v>
      </c>
      <c r="D216" t="s">
        <v>13</v>
      </c>
      <c r="E216" s="3">
        <v>0.55677303921699517</v>
      </c>
      <c r="F216" s="3">
        <v>0.34462043328749981</v>
      </c>
      <c r="G216">
        <f t="shared" si="6"/>
        <v>0.70330000000000004</v>
      </c>
      <c r="H216">
        <f t="shared" si="7"/>
        <v>2.2469999999999999</v>
      </c>
    </row>
    <row r="217" spans="1:8" x14ac:dyDescent="0.25">
      <c r="A217">
        <v>2009</v>
      </c>
      <c r="B217">
        <v>322</v>
      </c>
      <c r="C217" t="s">
        <v>15</v>
      </c>
      <c r="D217" t="s">
        <v>7</v>
      </c>
      <c r="E217" s="3">
        <v>0.30142650561451911</v>
      </c>
      <c r="F217" s="3">
        <v>0.73301858763614658</v>
      </c>
      <c r="G217">
        <f t="shared" si="6"/>
        <v>0.53820000000000001</v>
      </c>
      <c r="H217">
        <f t="shared" si="7"/>
        <v>3.7829999999999999</v>
      </c>
    </row>
    <row r="218" spans="1:8" x14ac:dyDescent="0.25">
      <c r="A218">
        <v>2009</v>
      </c>
      <c r="B218">
        <v>323</v>
      </c>
      <c r="C218" t="s">
        <v>15</v>
      </c>
      <c r="D218" t="s">
        <v>7</v>
      </c>
      <c r="E218" s="3">
        <v>0.74240603610873213</v>
      </c>
      <c r="F218" s="3">
        <v>0.83392665242960817</v>
      </c>
      <c r="G218">
        <f t="shared" si="6"/>
        <v>0.53820000000000001</v>
      </c>
      <c r="H218">
        <f t="shared" si="7"/>
        <v>3.7829999999999999</v>
      </c>
    </row>
    <row r="219" spans="1:8" x14ac:dyDescent="0.25">
      <c r="A219">
        <v>2009</v>
      </c>
      <c r="B219">
        <v>323</v>
      </c>
      <c r="C219" t="s">
        <v>15</v>
      </c>
      <c r="D219" t="s">
        <v>13</v>
      </c>
      <c r="E219" s="3">
        <v>0.77017602262496954</v>
      </c>
      <c r="F219" s="3">
        <v>0.83392665242960817</v>
      </c>
      <c r="G219">
        <f t="shared" si="6"/>
        <v>0.70330000000000004</v>
      </c>
      <c r="H219">
        <f t="shared" si="7"/>
        <v>3.7829999999999999</v>
      </c>
    </row>
    <row r="220" spans="1:8" x14ac:dyDescent="0.25">
      <c r="A220">
        <v>2009</v>
      </c>
      <c r="B220">
        <v>324</v>
      </c>
      <c r="C220" t="s">
        <v>6</v>
      </c>
      <c r="D220" t="s">
        <v>7</v>
      </c>
      <c r="E220" s="3">
        <v>0.83238860327005382</v>
      </c>
      <c r="F220" s="3">
        <v>0.82235294946736481</v>
      </c>
      <c r="G220">
        <f t="shared" si="6"/>
        <v>0.53820000000000001</v>
      </c>
      <c r="H220">
        <f t="shared" si="7"/>
        <v>4.1470000000000002</v>
      </c>
    </row>
    <row r="221" spans="1:8" x14ac:dyDescent="0.25">
      <c r="A221">
        <v>2009</v>
      </c>
      <c r="B221">
        <v>325</v>
      </c>
      <c r="C221" t="s">
        <v>16</v>
      </c>
      <c r="D221" t="s">
        <v>7</v>
      </c>
      <c r="E221" s="3">
        <v>0.77813888953208921</v>
      </c>
      <c r="F221" s="3">
        <v>0.85013264541030864</v>
      </c>
      <c r="G221">
        <f t="shared" si="6"/>
        <v>0.53820000000000001</v>
      </c>
      <c r="H221">
        <f t="shared" si="7"/>
        <v>3.0710000000000002</v>
      </c>
    </row>
    <row r="222" spans="1:8" x14ac:dyDescent="0.25">
      <c r="A222">
        <v>2009</v>
      </c>
      <c r="B222">
        <v>325</v>
      </c>
      <c r="C222" t="s">
        <v>16</v>
      </c>
      <c r="D222" t="s">
        <v>13</v>
      </c>
      <c r="E222" s="3">
        <v>0.52634980507194995</v>
      </c>
      <c r="F222" s="3">
        <v>0.85013264541030864</v>
      </c>
      <c r="G222">
        <f t="shared" si="6"/>
        <v>0.70330000000000004</v>
      </c>
      <c r="H222">
        <f t="shared" si="7"/>
        <v>3.0710000000000002</v>
      </c>
    </row>
    <row r="223" spans="1:8" x14ac:dyDescent="0.25">
      <c r="A223">
        <v>2009</v>
      </c>
      <c r="B223">
        <v>326</v>
      </c>
      <c r="C223" t="s">
        <v>6</v>
      </c>
      <c r="D223" t="s">
        <v>7</v>
      </c>
      <c r="E223" s="3">
        <v>0.93534980479478835</v>
      </c>
      <c r="F223" s="3">
        <v>0.37049516497315171</v>
      </c>
      <c r="G223">
        <f t="shared" si="6"/>
        <v>0.53820000000000001</v>
      </c>
      <c r="H223">
        <f t="shared" si="7"/>
        <v>4.1470000000000002</v>
      </c>
    </row>
    <row r="224" spans="1:8" x14ac:dyDescent="0.25">
      <c r="A224">
        <v>2009</v>
      </c>
      <c r="B224">
        <v>328</v>
      </c>
      <c r="C224" t="s">
        <v>9</v>
      </c>
      <c r="D224" t="s">
        <v>7</v>
      </c>
      <c r="E224" s="3">
        <v>0.18601185321807867</v>
      </c>
      <c r="F224" s="3">
        <v>0.82519259404353207</v>
      </c>
      <c r="G224">
        <f t="shared" si="6"/>
        <v>0.53820000000000001</v>
      </c>
      <c r="H224">
        <f t="shared" si="7"/>
        <v>2.2469999999999999</v>
      </c>
    </row>
    <row r="225" spans="1:8" x14ac:dyDescent="0.25">
      <c r="A225">
        <v>2009</v>
      </c>
      <c r="B225">
        <v>329</v>
      </c>
      <c r="C225" t="s">
        <v>12</v>
      </c>
      <c r="D225" t="s">
        <v>7</v>
      </c>
      <c r="E225" s="3">
        <v>0.74814656003415592</v>
      </c>
      <c r="F225" s="3">
        <v>0.7706749225844941</v>
      </c>
      <c r="G225">
        <f t="shared" si="6"/>
        <v>0.53820000000000001</v>
      </c>
      <c r="H225">
        <f t="shared" si="7"/>
        <v>1.1639999999999999</v>
      </c>
    </row>
    <row r="226" spans="1:8" x14ac:dyDescent="0.25">
      <c r="A226">
        <v>2009</v>
      </c>
      <c r="B226">
        <v>333</v>
      </c>
      <c r="C226" t="s">
        <v>6</v>
      </c>
      <c r="D226" t="s">
        <v>7</v>
      </c>
      <c r="E226" s="3">
        <v>0.65532750606119627</v>
      </c>
      <c r="F226" s="3">
        <v>0.41413523854731749</v>
      </c>
      <c r="G226">
        <f t="shared" si="6"/>
        <v>0.53820000000000001</v>
      </c>
      <c r="H226">
        <f t="shared" si="7"/>
        <v>4.1470000000000002</v>
      </c>
    </row>
    <row r="227" spans="1:8" x14ac:dyDescent="0.25">
      <c r="A227">
        <v>2009</v>
      </c>
      <c r="B227">
        <v>333</v>
      </c>
      <c r="C227" t="s">
        <v>6</v>
      </c>
      <c r="D227" t="s">
        <v>13</v>
      </c>
      <c r="E227" s="3">
        <v>0.90599404713869092</v>
      </c>
      <c r="F227" s="3">
        <v>0.41413523854731749</v>
      </c>
      <c r="G227">
        <f t="shared" si="6"/>
        <v>0.70330000000000004</v>
      </c>
      <c r="H227">
        <f t="shared" si="7"/>
        <v>4.1470000000000002</v>
      </c>
    </row>
    <row r="228" spans="1:8" x14ac:dyDescent="0.25">
      <c r="A228">
        <v>2009</v>
      </c>
      <c r="B228">
        <v>334</v>
      </c>
      <c r="C228" t="s">
        <v>9</v>
      </c>
      <c r="D228" t="s">
        <v>7</v>
      </c>
      <c r="E228" s="3">
        <v>0.895144922709465</v>
      </c>
      <c r="F228" s="3">
        <v>0.59637096013749225</v>
      </c>
      <c r="G228">
        <f t="shared" si="6"/>
        <v>0.53820000000000001</v>
      </c>
      <c r="H228">
        <f t="shared" si="7"/>
        <v>2.2469999999999999</v>
      </c>
    </row>
    <row r="229" spans="1:8" x14ac:dyDescent="0.25">
      <c r="A229">
        <v>2009</v>
      </c>
      <c r="B229">
        <v>336</v>
      </c>
      <c r="C229" t="s">
        <v>11</v>
      </c>
      <c r="D229" t="s">
        <v>10</v>
      </c>
      <c r="E229" s="3">
        <v>0.82873178800344471</v>
      </c>
      <c r="F229" s="3">
        <v>0.65035028198044809</v>
      </c>
      <c r="G229">
        <f t="shared" si="6"/>
        <v>0.36450000000000005</v>
      </c>
      <c r="H229">
        <f t="shared" si="7"/>
        <v>2.9630000000000001</v>
      </c>
    </row>
    <row r="230" spans="1:8" x14ac:dyDescent="0.25">
      <c r="A230">
        <v>2009</v>
      </c>
      <c r="B230">
        <v>337</v>
      </c>
      <c r="C230" t="s">
        <v>9</v>
      </c>
      <c r="D230" t="s">
        <v>7</v>
      </c>
      <c r="E230" s="3">
        <v>0.54438598661661153</v>
      </c>
      <c r="F230" s="3">
        <v>0.37308013093765113</v>
      </c>
      <c r="G230">
        <f t="shared" si="6"/>
        <v>0.53820000000000001</v>
      </c>
      <c r="H230">
        <f t="shared" si="7"/>
        <v>2.2469999999999999</v>
      </c>
    </row>
    <row r="231" spans="1:8" x14ac:dyDescent="0.25">
      <c r="A231">
        <v>2009</v>
      </c>
      <c r="B231">
        <v>338</v>
      </c>
      <c r="C231" t="s">
        <v>12</v>
      </c>
      <c r="D231" t="s">
        <v>7</v>
      </c>
      <c r="E231" s="3">
        <v>0.78084052650332447</v>
      </c>
      <c r="F231" s="3">
        <v>0.66224073162408104</v>
      </c>
      <c r="G231">
        <f t="shared" si="6"/>
        <v>0.53820000000000001</v>
      </c>
      <c r="H231">
        <f t="shared" si="7"/>
        <v>1.1639999999999999</v>
      </c>
    </row>
    <row r="232" spans="1:8" x14ac:dyDescent="0.25">
      <c r="A232">
        <v>2009</v>
      </c>
      <c r="B232">
        <v>339</v>
      </c>
      <c r="C232" t="s">
        <v>11</v>
      </c>
      <c r="D232" t="s">
        <v>10</v>
      </c>
      <c r="E232" s="3">
        <v>0.61715316200256343</v>
      </c>
      <c r="F232" s="3">
        <v>0.83175535466956585</v>
      </c>
      <c r="G232">
        <f t="shared" si="6"/>
        <v>0.36450000000000005</v>
      </c>
      <c r="H232">
        <f t="shared" si="7"/>
        <v>2.9630000000000001</v>
      </c>
    </row>
    <row r="233" spans="1:8" x14ac:dyDescent="0.25">
      <c r="A233">
        <v>2009</v>
      </c>
      <c r="B233">
        <v>340</v>
      </c>
      <c r="C233" t="s">
        <v>6</v>
      </c>
      <c r="D233" t="s">
        <v>7</v>
      </c>
      <c r="E233" s="3">
        <v>0.84987534433126455</v>
      </c>
      <c r="F233" s="3">
        <v>0.79780068093659473</v>
      </c>
      <c r="G233">
        <f t="shared" si="6"/>
        <v>0.53820000000000001</v>
      </c>
      <c r="H233">
        <f t="shared" si="7"/>
        <v>4.1470000000000002</v>
      </c>
    </row>
    <row r="234" spans="1:8" x14ac:dyDescent="0.25">
      <c r="A234">
        <v>2009</v>
      </c>
      <c r="B234">
        <v>340</v>
      </c>
      <c r="C234" t="s">
        <v>6</v>
      </c>
      <c r="D234" t="s">
        <v>13</v>
      </c>
      <c r="E234" s="3">
        <v>0.86654142132997514</v>
      </c>
      <c r="F234" s="3">
        <v>0.79780068093659473</v>
      </c>
      <c r="G234">
        <f t="shared" si="6"/>
        <v>0.70330000000000004</v>
      </c>
      <c r="H234">
        <f t="shared" si="7"/>
        <v>4.1470000000000002</v>
      </c>
    </row>
    <row r="235" spans="1:8" x14ac:dyDescent="0.25">
      <c r="A235">
        <v>2009</v>
      </c>
      <c r="B235">
        <v>342</v>
      </c>
      <c r="C235" t="s">
        <v>9</v>
      </c>
      <c r="D235" t="s">
        <v>7</v>
      </c>
      <c r="E235" s="3">
        <v>0.66017620335698135</v>
      </c>
      <c r="F235" s="3">
        <v>0.20867876306453159</v>
      </c>
      <c r="G235">
        <f t="shared" si="6"/>
        <v>0.53820000000000001</v>
      </c>
      <c r="H235">
        <f t="shared" si="7"/>
        <v>2.2469999999999999</v>
      </c>
    </row>
    <row r="236" spans="1:8" x14ac:dyDescent="0.25">
      <c r="A236">
        <v>2009</v>
      </c>
      <c r="B236">
        <v>344</v>
      </c>
      <c r="C236" t="s">
        <v>11</v>
      </c>
      <c r="D236" t="s">
        <v>10</v>
      </c>
      <c r="E236" s="3">
        <v>0.96666427532434462</v>
      </c>
      <c r="F236" s="3">
        <v>0.27842787804664387</v>
      </c>
      <c r="G236">
        <f t="shared" si="6"/>
        <v>0.36450000000000005</v>
      </c>
      <c r="H236">
        <f t="shared" si="7"/>
        <v>2.9630000000000001</v>
      </c>
    </row>
    <row r="237" spans="1:8" x14ac:dyDescent="0.25">
      <c r="A237">
        <v>2009</v>
      </c>
      <c r="B237">
        <v>346</v>
      </c>
      <c r="C237" t="s">
        <v>6</v>
      </c>
      <c r="D237" t="s">
        <v>7</v>
      </c>
      <c r="E237" s="3">
        <v>0.99</v>
      </c>
      <c r="F237" s="3">
        <v>0.88556872400827624</v>
      </c>
      <c r="G237">
        <f t="shared" si="6"/>
        <v>0.53820000000000001</v>
      </c>
      <c r="H237">
        <f t="shared" si="7"/>
        <v>4.1470000000000002</v>
      </c>
    </row>
    <row r="238" spans="1:8" x14ac:dyDescent="0.25">
      <c r="A238">
        <v>2009</v>
      </c>
      <c r="B238">
        <v>347</v>
      </c>
      <c r="C238" t="s">
        <v>9</v>
      </c>
      <c r="D238" t="s">
        <v>7</v>
      </c>
      <c r="E238" s="3">
        <v>0.80023651341199875</v>
      </c>
      <c r="F238" s="3">
        <v>0.5286166011657677</v>
      </c>
      <c r="G238">
        <f t="shared" si="6"/>
        <v>0.53820000000000001</v>
      </c>
      <c r="H238">
        <f t="shared" si="7"/>
        <v>2.2469999999999999</v>
      </c>
    </row>
    <row r="239" spans="1:8" x14ac:dyDescent="0.25">
      <c r="A239">
        <v>2009</v>
      </c>
      <c r="B239">
        <v>349</v>
      </c>
      <c r="C239" t="s">
        <v>11</v>
      </c>
      <c r="D239" t="s">
        <v>7</v>
      </c>
      <c r="E239" s="3">
        <v>0.85680361959338192</v>
      </c>
      <c r="F239" s="3">
        <v>0.85950272907484193</v>
      </c>
      <c r="G239">
        <f t="shared" si="6"/>
        <v>0.53820000000000001</v>
      </c>
      <c r="H239">
        <f t="shared" si="7"/>
        <v>2.9630000000000001</v>
      </c>
    </row>
    <row r="240" spans="1:8" x14ac:dyDescent="0.25">
      <c r="A240">
        <v>2009</v>
      </c>
      <c r="B240">
        <v>351</v>
      </c>
      <c r="C240" t="s">
        <v>15</v>
      </c>
      <c r="D240" t="s">
        <v>7</v>
      </c>
      <c r="E240" s="3">
        <v>0.70307803926467893</v>
      </c>
      <c r="F240" s="3">
        <v>0.15230984655413038</v>
      </c>
      <c r="G240">
        <f t="shared" si="6"/>
        <v>0.53820000000000001</v>
      </c>
      <c r="H240">
        <f t="shared" si="7"/>
        <v>3.7829999999999999</v>
      </c>
    </row>
    <row r="241" spans="1:8" x14ac:dyDescent="0.25">
      <c r="A241">
        <v>2009</v>
      </c>
      <c r="B241">
        <v>352</v>
      </c>
      <c r="C241" t="s">
        <v>15</v>
      </c>
      <c r="D241" t="s">
        <v>7</v>
      </c>
      <c r="E241" s="3">
        <v>0.20905135177075873</v>
      </c>
      <c r="F241" s="3">
        <v>0.65999015478624501</v>
      </c>
      <c r="G241">
        <f t="shared" si="6"/>
        <v>0.53820000000000001</v>
      </c>
      <c r="H241">
        <f t="shared" si="7"/>
        <v>3.7829999999999999</v>
      </c>
    </row>
    <row r="242" spans="1:8" x14ac:dyDescent="0.25">
      <c r="A242">
        <v>2009</v>
      </c>
      <c r="B242">
        <v>353</v>
      </c>
      <c r="C242" t="s">
        <v>6</v>
      </c>
      <c r="D242" t="s">
        <v>7</v>
      </c>
      <c r="E242" s="3">
        <v>0.53515243767738352</v>
      </c>
      <c r="F242" s="3">
        <v>0.89</v>
      </c>
      <c r="G242">
        <f t="shared" si="6"/>
        <v>0.53820000000000001</v>
      </c>
      <c r="H242">
        <f t="shared" si="7"/>
        <v>4.1470000000000002</v>
      </c>
    </row>
    <row r="243" spans="1:8" x14ac:dyDescent="0.25">
      <c r="A243">
        <v>2009</v>
      </c>
      <c r="B243">
        <v>358</v>
      </c>
      <c r="C243" t="s">
        <v>9</v>
      </c>
      <c r="D243" t="s">
        <v>7</v>
      </c>
      <c r="E243" s="3">
        <v>0.90810948919296264</v>
      </c>
      <c r="F243" s="3">
        <v>0.26327661251760698</v>
      </c>
      <c r="G243">
        <f t="shared" si="6"/>
        <v>0.53820000000000001</v>
      </c>
      <c r="H243">
        <f t="shared" si="7"/>
        <v>2.2469999999999999</v>
      </c>
    </row>
    <row r="244" spans="1:8" x14ac:dyDescent="0.25">
      <c r="A244">
        <v>2009</v>
      </c>
      <c r="B244">
        <v>359</v>
      </c>
      <c r="C244" t="s">
        <v>6</v>
      </c>
      <c r="D244" t="s">
        <v>7</v>
      </c>
      <c r="E244" s="3">
        <v>0.01</v>
      </c>
      <c r="F244" s="3">
        <v>0.49649820800886935</v>
      </c>
      <c r="G244">
        <f t="shared" si="6"/>
        <v>0.53820000000000001</v>
      </c>
      <c r="H244">
        <f t="shared" si="7"/>
        <v>4.1470000000000002</v>
      </c>
    </row>
    <row r="245" spans="1:8" x14ac:dyDescent="0.25">
      <c r="A245">
        <v>2009</v>
      </c>
      <c r="B245">
        <v>360</v>
      </c>
      <c r="C245" t="s">
        <v>9</v>
      </c>
      <c r="D245" t="s">
        <v>8</v>
      </c>
      <c r="E245" s="3">
        <v>0.1064265402954816</v>
      </c>
      <c r="F245" s="3">
        <v>0.43238411062561111</v>
      </c>
      <c r="G245">
        <f t="shared" si="6"/>
        <v>0.71150000000000002</v>
      </c>
      <c r="H245">
        <f t="shared" si="7"/>
        <v>2.2469999999999999</v>
      </c>
    </row>
    <row r="246" spans="1:8" x14ac:dyDescent="0.25">
      <c r="A246">
        <v>2009</v>
      </c>
      <c r="B246">
        <v>361</v>
      </c>
      <c r="C246" t="s">
        <v>12</v>
      </c>
      <c r="D246" t="s">
        <v>10</v>
      </c>
      <c r="E246" s="3">
        <v>4.4815081080794461E-2</v>
      </c>
      <c r="F246" s="3">
        <v>0.78427238814233391</v>
      </c>
      <c r="G246">
        <f t="shared" si="6"/>
        <v>0.36450000000000005</v>
      </c>
      <c r="H246">
        <f t="shared" si="7"/>
        <v>1.1639999999999999</v>
      </c>
    </row>
    <row r="247" spans="1:8" x14ac:dyDescent="0.25">
      <c r="A247">
        <v>2009</v>
      </c>
      <c r="B247">
        <v>361</v>
      </c>
      <c r="C247" t="s">
        <v>12</v>
      </c>
      <c r="D247" t="s">
        <v>13</v>
      </c>
      <c r="E247" s="3">
        <v>9.389274293184291E-2</v>
      </c>
      <c r="F247" s="3">
        <v>0.78427238814233391</v>
      </c>
      <c r="G247">
        <f t="shared" si="6"/>
        <v>0.70330000000000004</v>
      </c>
      <c r="H247">
        <f t="shared" si="7"/>
        <v>1.1639999999999999</v>
      </c>
    </row>
    <row r="248" spans="1:8" x14ac:dyDescent="0.25">
      <c r="A248">
        <v>2009</v>
      </c>
      <c r="B248">
        <v>362</v>
      </c>
      <c r="C248" t="s">
        <v>11</v>
      </c>
      <c r="D248" t="s">
        <v>7</v>
      </c>
      <c r="E248" s="3">
        <v>0.88519041690826417</v>
      </c>
      <c r="F248" s="3">
        <v>0.8602696664313787</v>
      </c>
      <c r="G248">
        <f t="shared" si="6"/>
        <v>0.53820000000000001</v>
      </c>
      <c r="H248">
        <f t="shared" si="7"/>
        <v>2.9630000000000001</v>
      </c>
    </row>
    <row r="249" spans="1:8" x14ac:dyDescent="0.25">
      <c r="A249">
        <v>2009</v>
      </c>
      <c r="B249">
        <v>363</v>
      </c>
      <c r="C249" t="s">
        <v>9</v>
      </c>
      <c r="D249" t="s">
        <v>7</v>
      </c>
      <c r="E249" s="3">
        <v>0.34757492375373833</v>
      </c>
      <c r="F249" s="3">
        <v>0.7078579789902919</v>
      </c>
      <c r="G249">
        <f t="shared" si="6"/>
        <v>0.53820000000000001</v>
      </c>
      <c r="H249">
        <f t="shared" si="7"/>
        <v>2.2469999999999999</v>
      </c>
    </row>
    <row r="250" spans="1:8" x14ac:dyDescent="0.25">
      <c r="A250">
        <v>2009</v>
      </c>
      <c r="B250">
        <v>363</v>
      </c>
      <c r="C250" t="s">
        <v>9</v>
      </c>
      <c r="D250" t="s">
        <v>13</v>
      </c>
      <c r="E250" s="3">
        <v>0.86661755257844919</v>
      </c>
      <c r="F250" s="3">
        <v>0.7078579789902919</v>
      </c>
      <c r="G250">
        <f t="shared" si="6"/>
        <v>0.70330000000000004</v>
      </c>
      <c r="H250">
        <f t="shared" si="7"/>
        <v>2.2469999999999999</v>
      </c>
    </row>
    <row r="251" spans="1:8" x14ac:dyDescent="0.25">
      <c r="A251">
        <v>2009</v>
      </c>
      <c r="B251">
        <v>364</v>
      </c>
      <c r="C251" t="s">
        <v>15</v>
      </c>
      <c r="D251" t="s">
        <v>7</v>
      </c>
      <c r="E251" s="3">
        <v>0.94011936599195001</v>
      </c>
      <c r="F251" s="3">
        <v>0.57186613101325878</v>
      </c>
      <c r="G251">
        <f t="shared" si="6"/>
        <v>0.53820000000000001</v>
      </c>
      <c r="H251">
        <f t="shared" si="7"/>
        <v>3.7829999999999999</v>
      </c>
    </row>
    <row r="252" spans="1:8" x14ac:dyDescent="0.25">
      <c r="A252">
        <v>2009</v>
      </c>
      <c r="B252">
        <v>365</v>
      </c>
      <c r="C252" t="s">
        <v>15</v>
      </c>
      <c r="D252" t="s">
        <v>13</v>
      </c>
      <c r="E252" s="3">
        <v>0.49475931880474089</v>
      </c>
      <c r="F252" s="3">
        <v>0.38282746358703185</v>
      </c>
      <c r="G252">
        <f t="shared" si="6"/>
        <v>0.70330000000000004</v>
      </c>
      <c r="H252">
        <f t="shared" si="7"/>
        <v>3.7829999999999999</v>
      </c>
    </row>
    <row r="253" spans="1:8" x14ac:dyDescent="0.25">
      <c r="A253">
        <v>2009</v>
      </c>
      <c r="B253">
        <v>367</v>
      </c>
      <c r="C253" t="s">
        <v>12</v>
      </c>
      <c r="D253" t="s">
        <v>10</v>
      </c>
      <c r="E253" s="3">
        <v>0.83732212998270983</v>
      </c>
      <c r="F253" s="3">
        <v>0.27879191796414449</v>
      </c>
      <c r="G253">
        <f t="shared" si="6"/>
        <v>0.36450000000000005</v>
      </c>
      <c r="H253">
        <f t="shared" si="7"/>
        <v>1.1639999999999999</v>
      </c>
    </row>
    <row r="254" spans="1:8" x14ac:dyDescent="0.25">
      <c r="A254">
        <v>2009</v>
      </c>
      <c r="B254">
        <v>371</v>
      </c>
      <c r="C254" t="s">
        <v>9</v>
      </c>
      <c r="D254" t="s">
        <v>7</v>
      </c>
      <c r="E254" s="3">
        <v>0.78473769719898701</v>
      </c>
      <c r="F254" s="3">
        <v>0.88912010439962941</v>
      </c>
      <c r="G254">
        <f t="shared" si="6"/>
        <v>0.53820000000000001</v>
      </c>
      <c r="H254">
        <f t="shared" si="7"/>
        <v>2.2469999999999999</v>
      </c>
    </row>
    <row r="255" spans="1:8" x14ac:dyDescent="0.25">
      <c r="A255">
        <v>2009</v>
      </c>
      <c r="B255">
        <v>371</v>
      </c>
      <c r="C255" t="s">
        <v>9</v>
      </c>
      <c r="D255" t="s">
        <v>13</v>
      </c>
      <c r="E255" s="3">
        <v>0.94286120855808253</v>
      </c>
      <c r="F255" s="3">
        <v>0.88912010439962941</v>
      </c>
      <c r="G255">
        <f t="shared" si="6"/>
        <v>0.70330000000000004</v>
      </c>
      <c r="H255">
        <f t="shared" si="7"/>
        <v>2.2469999999999999</v>
      </c>
    </row>
    <row r="256" spans="1:8" x14ac:dyDescent="0.25">
      <c r="A256">
        <v>2009</v>
      </c>
      <c r="B256">
        <v>373</v>
      </c>
      <c r="C256" t="s">
        <v>11</v>
      </c>
      <c r="D256" t="s">
        <v>7</v>
      </c>
      <c r="E256" s="3">
        <v>0.45680370292663586</v>
      </c>
      <c r="F256" s="3">
        <v>0.43408230532687303</v>
      </c>
      <c r="G256">
        <f t="shared" si="6"/>
        <v>0.53820000000000001</v>
      </c>
      <c r="H256">
        <f t="shared" si="7"/>
        <v>2.9630000000000001</v>
      </c>
    </row>
    <row r="257" spans="1:8" x14ac:dyDescent="0.25">
      <c r="A257">
        <v>2009</v>
      </c>
      <c r="B257">
        <v>374</v>
      </c>
      <c r="C257" t="s">
        <v>9</v>
      </c>
      <c r="D257" t="s">
        <v>8</v>
      </c>
      <c r="E257" s="3">
        <v>0.98092117155790326</v>
      </c>
      <c r="F257" s="3">
        <v>0.63373316103335098</v>
      </c>
      <c r="G257">
        <f t="shared" si="6"/>
        <v>0.71150000000000002</v>
      </c>
      <c r="H257">
        <f t="shared" si="7"/>
        <v>2.2469999999999999</v>
      </c>
    </row>
    <row r="258" spans="1:8" x14ac:dyDescent="0.25">
      <c r="A258">
        <v>2009</v>
      </c>
      <c r="B258">
        <v>375</v>
      </c>
      <c r="C258" t="s">
        <v>6</v>
      </c>
      <c r="D258" t="s">
        <v>8</v>
      </c>
      <c r="E258" s="3">
        <v>0.95201916438341139</v>
      </c>
      <c r="F258" s="3">
        <v>0.72747476738196326</v>
      </c>
      <c r="G258">
        <f t="shared" si="6"/>
        <v>0.71150000000000002</v>
      </c>
      <c r="H258">
        <f t="shared" si="7"/>
        <v>4.1470000000000002</v>
      </c>
    </row>
    <row r="259" spans="1:8" x14ac:dyDescent="0.25">
      <c r="A259">
        <v>2009</v>
      </c>
      <c r="B259">
        <v>376</v>
      </c>
      <c r="C259" t="s">
        <v>9</v>
      </c>
      <c r="D259" t="s">
        <v>7</v>
      </c>
      <c r="E259" s="3">
        <v>0.22625576134324077</v>
      </c>
      <c r="F259" s="3">
        <v>0.38796052863253327</v>
      </c>
      <c r="G259">
        <f t="shared" ref="G259:G318" si="8">VLOOKUP(D259,J$3:M$6,A259-2005,0)</f>
        <v>0.53820000000000001</v>
      </c>
      <c r="H259">
        <f t="shared" ref="H259:H318" si="9">VLOOKUP(C259,J$10:M$16,A259-2005,0)</f>
        <v>2.2469999999999999</v>
      </c>
    </row>
    <row r="260" spans="1:8" x14ac:dyDescent="0.25">
      <c r="A260">
        <v>2009</v>
      </c>
      <c r="B260">
        <v>377</v>
      </c>
      <c r="C260" t="s">
        <v>12</v>
      </c>
      <c r="D260" t="s">
        <v>13</v>
      </c>
      <c r="E260" s="3">
        <v>0.96573652245521546</v>
      </c>
      <c r="F260" s="3">
        <v>0.51099417420659754</v>
      </c>
      <c r="G260">
        <f t="shared" si="8"/>
        <v>0.70330000000000004</v>
      </c>
      <c r="H260">
        <f t="shared" si="9"/>
        <v>1.1639999999999999</v>
      </c>
    </row>
    <row r="261" spans="1:8" x14ac:dyDescent="0.25">
      <c r="A261">
        <v>2009</v>
      </c>
      <c r="B261">
        <v>378</v>
      </c>
      <c r="C261" t="s">
        <v>11</v>
      </c>
      <c r="D261" t="s">
        <v>7</v>
      </c>
      <c r="E261" s="3">
        <v>0.60189073845267305</v>
      </c>
      <c r="F261" s="3">
        <v>0.2635472241507642</v>
      </c>
      <c r="G261">
        <f t="shared" si="8"/>
        <v>0.53820000000000001</v>
      </c>
      <c r="H261">
        <f t="shared" si="9"/>
        <v>2.9630000000000001</v>
      </c>
    </row>
    <row r="262" spans="1:8" x14ac:dyDescent="0.25">
      <c r="A262">
        <v>2009</v>
      </c>
      <c r="B262">
        <v>379</v>
      </c>
      <c r="C262" t="s">
        <v>9</v>
      </c>
      <c r="D262" t="s">
        <v>8</v>
      </c>
      <c r="E262" s="3">
        <v>0.12357387948870657</v>
      </c>
      <c r="F262" s="3">
        <v>0.65727629181247493</v>
      </c>
      <c r="G262">
        <f t="shared" si="8"/>
        <v>0.71150000000000002</v>
      </c>
      <c r="H262">
        <f t="shared" si="9"/>
        <v>2.2469999999999999</v>
      </c>
    </row>
    <row r="263" spans="1:8" x14ac:dyDescent="0.25">
      <c r="A263">
        <v>2009</v>
      </c>
      <c r="B263">
        <v>380</v>
      </c>
      <c r="C263" t="s">
        <v>15</v>
      </c>
      <c r="D263" t="s">
        <v>7</v>
      </c>
      <c r="E263" s="3">
        <v>0.32080336864948278</v>
      </c>
      <c r="F263" s="3">
        <v>0.66162113579716153</v>
      </c>
      <c r="G263">
        <f t="shared" si="8"/>
        <v>0.53820000000000001</v>
      </c>
      <c r="H263">
        <f t="shared" si="9"/>
        <v>3.7829999999999999</v>
      </c>
    </row>
    <row r="264" spans="1:8" x14ac:dyDescent="0.25">
      <c r="A264">
        <v>2009</v>
      </c>
      <c r="B264">
        <v>380</v>
      </c>
      <c r="C264" t="s">
        <v>15</v>
      </c>
      <c r="D264" t="s">
        <v>8</v>
      </c>
      <c r="E264" s="3">
        <v>0.73831400333344932</v>
      </c>
      <c r="F264" s="3">
        <v>0.66162113579716153</v>
      </c>
      <c r="G264">
        <f t="shared" si="8"/>
        <v>0.71150000000000002</v>
      </c>
      <c r="H264">
        <f t="shared" si="9"/>
        <v>3.7829999999999999</v>
      </c>
    </row>
    <row r="265" spans="1:8" x14ac:dyDescent="0.25">
      <c r="A265">
        <v>2009</v>
      </c>
      <c r="B265">
        <v>383</v>
      </c>
      <c r="C265" t="s">
        <v>12</v>
      </c>
      <c r="D265" t="s">
        <v>7</v>
      </c>
      <c r="E265" s="3">
        <v>0.51683621197223673</v>
      </c>
      <c r="F265" s="3">
        <v>0.29443248187978632</v>
      </c>
      <c r="G265">
        <f t="shared" si="8"/>
        <v>0.53820000000000001</v>
      </c>
      <c r="H265">
        <f t="shared" si="9"/>
        <v>1.1639999999999999</v>
      </c>
    </row>
    <row r="266" spans="1:8" x14ac:dyDescent="0.25">
      <c r="A266">
        <v>2009</v>
      </c>
      <c r="B266">
        <v>384</v>
      </c>
      <c r="C266" t="s">
        <v>16</v>
      </c>
      <c r="D266" t="s">
        <v>7</v>
      </c>
      <c r="E266" s="3">
        <v>0.64276520416140559</v>
      </c>
      <c r="F266" s="3">
        <v>0.74933162634638362</v>
      </c>
      <c r="G266">
        <f t="shared" si="8"/>
        <v>0.53820000000000001</v>
      </c>
      <c r="H266">
        <f t="shared" si="9"/>
        <v>3.0710000000000002</v>
      </c>
    </row>
    <row r="267" spans="1:8" x14ac:dyDescent="0.25">
      <c r="A267">
        <v>2009</v>
      </c>
      <c r="B267">
        <v>386</v>
      </c>
      <c r="C267" t="s">
        <v>9</v>
      </c>
      <c r="D267" t="s">
        <v>7</v>
      </c>
      <c r="E267" s="3">
        <v>0.90086044161319734</v>
      </c>
      <c r="F267" s="3">
        <v>0.2157220223224087</v>
      </c>
      <c r="G267">
        <f t="shared" si="8"/>
        <v>0.53820000000000001</v>
      </c>
      <c r="H267">
        <f t="shared" si="9"/>
        <v>2.2469999999999999</v>
      </c>
    </row>
    <row r="268" spans="1:8" x14ac:dyDescent="0.25">
      <c r="A268">
        <v>2009</v>
      </c>
      <c r="B268">
        <v>387</v>
      </c>
      <c r="C268" t="s">
        <v>12</v>
      </c>
      <c r="D268" t="s">
        <v>7</v>
      </c>
      <c r="E268" s="3">
        <v>0.99</v>
      </c>
      <c r="F268" s="3">
        <v>0.70400566630307149</v>
      </c>
      <c r="G268">
        <f t="shared" si="8"/>
        <v>0.53820000000000001</v>
      </c>
      <c r="H268">
        <f t="shared" si="9"/>
        <v>1.1639999999999999</v>
      </c>
    </row>
    <row r="269" spans="1:8" x14ac:dyDescent="0.25">
      <c r="A269">
        <v>2009</v>
      </c>
      <c r="B269">
        <v>389</v>
      </c>
      <c r="C269" t="s">
        <v>15</v>
      </c>
      <c r="D269" t="s">
        <v>7</v>
      </c>
      <c r="E269" s="3">
        <v>0.97801503514111043</v>
      </c>
      <c r="F269" s="3">
        <v>0.41033124213439331</v>
      </c>
      <c r="G269">
        <f t="shared" si="8"/>
        <v>0.53820000000000001</v>
      </c>
      <c r="H269">
        <f t="shared" si="9"/>
        <v>3.7829999999999999</v>
      </c>
    </row>
    <row r="270" spans="1:8" x14ac:dyDescent="0.25">
      <c r="A270">
        <v>2009</v>
      </c>
      <c r="B270">
        <v>390</v>
      </c>
      <c r="C270" t="s">
        <v>12</v>
      </c>
      <c r="D270" t="s">
        <v>7</v>
      </c>
      <c r="E270" s="3">
        <v>0.42209384719431409</v>
      </c>
      <c r="F270" s="3">
        <v>0.31096274236329674</v>
      </c>
      <c r="G270">
        <f t="shared" si="8"/>
        <v>0.53820000000000001</v>
      </c>
      <c r="H270">
        <f t="shared" si="9"/>
        <v>1.1639999999999999</v>
      </c>
    </row>
    <row r="271" spans="1:8" x14ac:dyDescent="0.25">
      <c r="A271">
        <v>2009</v>
      </c>
      <c r="B271">
        <v>390</v>
      </c>
      <c r="C271" t="s">
        <v>12</v>
      </c>
      <c r="D271" t="s">
        <v>13</v>
      </c>
      <c r="E271" s="3">
        <v>0.53694779936671266</v>
      </c>
      <c r="F271" s="3">
        <v>0.31096274236329674</v>
      </c>
      <c r="G271">
        <f t="shared" si="8"/>
        <v>0.70330000000000004</v>
      </c>
      <c r="H271">
        <f t="shared" si="9"/>
        <v>1.1639999999999999</v>
      </c>
    </row>
    <row r="272" spans="1:8" x14ac:dyDescent="0.25">
      <c r="A272">
        <v>2009</v>
      </c>
      <c r="B272">
        <v>391</v>
      </c>
      <c r="C272" t="s">
        <v>11</v>
      </c>
      <c r="D272" t="s">
        <v>7</v>
      </c>
      <c r="E272" s="3">
        <v>0.13689371609687806</v>
      </c>
      <c r="F272" s="3">
        <v>0.28673200557218081</v>
      </c>
      <c r="G272">
        <f t="shared" si="8"/>
        <v>0.53820000000000001</v>
      </c>
      <c r="H272">
        <f t="shared" si="9"/>
        <v>2.9630000000000001</v>
      </c>
    </row>
    <row r="273" spans="1:8" x14ac:dyDescent="0.25">
      <c r="A273">
        <v>2009</v>
      </c>
      <c r="B273">
        <v>392</v>
      </c>
      <c r="C273" t="s">
        <v>6</v>
      </c>
      <c r="D273" t="s">
        <v>7</v>
      </c>
      <c r="E273" s="3">
        <v>0.11106657668948172</v>
      </c>
      <c r="F273" s="3">
        <v>9.9664482237793034E-2</v>
      </c>
      <c r="G273">
        <f t="shared" si="8"/>
        <v>0.53820000000000001</v>
      </c>
      <c r="H273">
        <f t="shared" si="9"/>
        <v>4.1470000000000002</v>
      </c>
    </row>
    <row r="274" spans="1:8" x14ac:dyDescent="0.25">
      <c r="A274">
        <v>2009</v>
      </c>
      <c r="B274">
        <v>394</v>
      </c>
      <c r="C274" t="s">
        <v>9</v>
      </c>
      <c r="D274" t="s">
        <v>7</v>
      </c>
      <c r="E274" s="3">
        <v>0.39909116290807733</v>
      </c>
      <c r="F274" s="3">
        <v>9.678995646694917E-2</v>
      </c>
      <c r="G274">
        <f t="shared" si="8"/>
        <v>0.53820000000000001</v>
      </c>
      <c r="H274">
        <f t="shared" si="9"/>
        <v>2.2469999999999999</v>
      </c>
    </row>
    <row r="275" spans="1:8" x14ac:dyDescent="0.25">
      <c r="A275">
        <v>2009</v>
      </c>
      <c r="B275">
        <v>395</v>
      </c>
      <c r="C275" t="s">
        <v>12</v>
      </c>
      <c r="D275" t="s">
        <v>7</v>
      </c>
      <c r="E275" s="3">
        <v>0.4598123176884652</v>
      </c>
      <c r="F275" s="3">
        <v>0.54032434139996532</v>
      </c>
      <c r="G275">
        <f t="shared" si="8"/>
        <v>0.53820000000000001</v>
      </c>
      <c r="H275">
        <f t="shared" si="9"/>
        <v>1.1639999999999999</v>
      </c>
    </row>
    <row r="276" spans="1:8" x14ac:dyDescent="0.25">
      <c r="A276">
        <v>2009</v>
      </c>
      <c r="B276">
        <v>397</v>
      </c>
      <c r="C276" t="s">
        <v>9</v>
      </c>
      <c r="D276" t="s">
        <v>7</v>
      </c>
      <c r="E276" s="3">
        <v>0.17569727358818066</v>
      </c>
      <c r="F276" s="3">
        <v>0.36620354009352379</v>
      </c>
      <c r="G276">
        <f t="shared" si="8"/>
        <v>0.53820000000000001</v>
      </c>
      <c r="H276">
        <f t="shared" si="9"/>
        <v>2.2469999999999999</v>
      </c>
    </row>
    <row r="277" spans="1:8" x14ac:dyDescent="0.25">
      <c r="A277">
        <v>2009</v>
      </c>
      <c r="B277">
        <v>398</v>
      </c>
      <c r="C277" t="s">
        <v>6</v>
      </c>
      <c r="D277" t="s">
        <v>7</v>
      </c>
      <c r="E277" s="3">
        <v>0.14688390462696554</v>
      </c>
      <c r="F277" s="3">
        <v>0.37882085751779726</v>
      </c>
      <c r="G277">
        <f t="shared" si="8"/>
        <v>0.53820000000000001</v>
      </c>
      <c r="H277">
        <f t="shared" si="9"/>
        <v>4.1470000000000002</v>
      </c>
    </row>
    <row r="278" spans="1:8" x14ac:dyDescent="0.25">
      <c r="A278">
        <v>2009</v>
      </c>
      <c r="B278">
        <v>399</v>
      </c>
      <c r="C278" t="s">
        <v>9</v>
      </c>
      <c r="D278" t="s">
        <v>10</v>
      </c>
      <c r="E278" s="3">
        <v>0.91377030686140059</v>
      </c>
      <c r="F278" s="3">
        <v>0.24209187537345095</v>
      </c>
      <c r="G278">
        <f t="shared" si="8"/>
        <v>0.36450000000000005</v>
      </c>
      <c r="H278">
        <f t="shared" si="9"/>
        <v>2.2469999999999999</v>
      </c>
    </row>
    <row r="279" spans="1:8" x14ac:dyDescent="0.25">
      <c r="A279">
        <v>2009</v>
      </c>
      <c r="B279">
        <v>400</v>
      </c>
      <c r="C279" t="s">
        <v>15</v>
      </c>
      <c r="D279" t="s">
        <v>7</v>
      </c>
      <c r="E279" s="3">
        <v>0.98947122612416749</v>
      </c>
      <c r="F279" s="3">
        <v>0.72362715072366335</v>
      </c>
      <c r="G279">
        <f t="shared" si="8"/>
        <v>0.53820000000000001</v>
      </c>
      <c r="H279">
        <f t="shared" si="9"/>
        <v>3.7829999999999999</v>
      </c>
    </row>
    <row r="280" spans="1:8" x14ac:dyDescent="0.25">
      <c r="A280">
        <v>2009</v>
      </c>
      <c r="B280">
        <v>401</v>
      </c>
      <c r="C280" t="s">
        <v>11</v>
      </c>
      <c r="D280" t="s">
        <v>7</v>
      </c>
      <c r="E280" s="3">
        <v>0.90675463732719419</v>
      </c>
      <c r="F280" s="3">
        <v>0.37327743147361359</v>
      </c>
      <c r="G280">
        <f t="shared" si="8"/>
        <v>0.53820000000000001</v>
      </c>
      <c r="H280">
        <f t="shared" si="9"/>
        <v>2.9630000000000001</v>
      </c>
    </row>
    <row r="281" spans="1:8" x14ac:dyDescent="0.25">
      <c r="A281">
        <v>2009</v>
      </c>
      <c r="B281">
        <v>403</v>
      </c>
      <c r="C281" t="s">
        <v>15</v>
      </c>
      <c r="D281" t="s">
        <v>7</v>
      </c>
      <c r="E281" s="3">
        <v>0.45253682114183913</v>
      </c>
      <c r="F281" s="3">
        <v>0.36976482851212733</v>
      </c>
      <c r="G281">
        <f t="shared" si="8"/>
        <v>0.53820000000000001</v>
      </c>
      <c r="H281">
        <f t="shared" si="9"/>
        <v>3.7829999999999999</v>
      </c>
    </row>
    <row r="282" spans="1:8" x14ac:dyDescent="0.25">
      <c r="A282">
        <v>2009</v>
      </c>
      <c r="B282">
        <v>404</v>
      </c>
      <c r="C282" t="s">
        <v>15</v>
      </c>
      <c r="D282" t="s">
        <v>7</v>
      </c>
      <c r="E282" s="3">
        <v>0.79086454966783526</v>
      </c>
      <c r="F282" s="3">
        <v>0.51479124073544247</v>
      </c>
      <c r="G282">
        <f t="shared" si="8"/>
        <v>0.53820000000000001</v>
      </c>
      <c r="H282">
        <f t="shared" si="9"/>
        <v>3.7829999999999999</v>
      </c>
    </row>
    <row r="283" spans="1:8" x14ac:dyDescent="0.25">
      <c r="A283">
        <v>2009</v>
      </c>
      <c r="B283">
        <v>405</v>
      </c>
      <c r="C283" t="s">
        <v>6</v>
      </c>
      <c r="D283" t="s">
        <v>10</v>
      </c>
      <c r="E283" s="3">
        <v>0.67414141379594805</v>
      </c>
      <c r="F283" s="3">
        <v>0.25251668797765114</v>
      </c>
      <c r="G283">
        <f t="shared" si="8"/>
        <v>0.36450000000000005</v>
      </c>
      <c r="H283">
        <f t="shared" si="9"/>
        <v>4.1470000000000002</v>
      </c>
    </row>
    <row r="284" spans="1:8" x14ac:dyDescent="0.25">
      <c r="A284">
        <v>2009</v>
      </c>
      <c r="B284">
        <v>406</v>
      </c>
      <c r="C284" t="s">
        <v>6</v>
      </c>
      <c r="D284" t="s">
        <v>13</v>
      </c>
      <c r="E284" s="3">
        <v>0.74862628505945206</v>
      </c>
      <c r="F284" s="3">
        <v>0.93661450752239472</v>
      </c>
      <c r="G284">
        <f t="shared" si="8"/>
        <v>0.70330000000000004</v>
      </c>
      <c r="H284">
        <f t="shared" si="9"/>
        <v>4.1470000000000002</v>
      </c>
    </row>
    <row r="285" spans="1:8" x14ac:dyDescent="0.25">
      <c r="A285">
        <v>2009</v>
      </c>
      <c r="B285">
        <v>407</v>
      </c>
      <c r="C285" t="s">
        <v>6</v>
      </c>
      <c r="D285" t="s">
        <v>13</v>
      </c>
      <c r="E285" s="3">
        <v>0.89202999738395217</v>
      </c>
      <c r="F285" s="3">
        <v>0.38679686313942307</v>
      </c>
      <c r="G285">
        <f t="shared" si="8"/>
        <v>0.70330000000000004</v>
      </c>
      <c r="H285">
        <f t="shared" si="9"/>
        <v>4.1470000000000002</v>
      </c>
    </row>
    <row r="286" spans="1:8" x14ac:dyDescent="0.25">
      <c r="A286">
        <v>2009</v>
      </c>
      <c r="B286">
        <v>410</v>
      </c>
      <c r="C286" t="s">
        <v>9</v>
      </c>
      <c r="D286" t="s">
        <v>7</v>
      </c>
      <c r="E286" s="3">
        <v>0.79821458527684208</v>
      </c>
      <c r="F286" s="3">
        <v>0.53537654777010557</v>
      </c>
      <c r="G286">
        <f t="shared" si="8"/>
        <v>0.53820000000000001</v>
      </c>
      <c r="H286">
        <f t="shared" si="9"/>
        <v>2.2469999999999999</v>
      </c>
    </row>
    <row r="287" spans="1:8" x14ac:dyDescent="0.25">
      <c r="A287">
        <v>2009</v>
      </c>
      <c r="B287">
        <v>411</v>
      </c>
      <c r="C287" t="s">
        <v>11</v>
      </c>
      <c r="D287" t="s">
        <v>7</v>
      </c>
      <c r="E287" s="3">
        <v>0.70047562533318997</v>
      </c>
      <c r="F287" s="3">
        <v>0.78914397449979667</v>
      </c>
      <c r="G287">
        <f t="shared" si="8"/>
        <v>0.53820000000000001</v>
      </c>
      <c r="H287">
        <f t="shared" si="9"/>
        <v>2.9630000000000001</v>
      </c>
    </row>
    <row r="288" spans="1:8" x14ac:dyDescent="0.25">
      <c r="A288">
        <v>2009</v>
      </c>
      <c r="B288">
        <v>412</v>
      </c>
      <c r="C288" t="s">
        <v>16</v>
      </c>
      <c r="D288" t="s">
        <v>8</v>
      </c>
      <c r="E288" s="3">
        <v>0.82939570184707645</v>
      </c>
      <c r="F288" s="3">
        <v>0.24369102342038579</v>
      </c>
      <c r="G288">
        <f t="shared" si="8"/>
        <v>0.71150000000000002</v>
      </c>
      <c r="H288">
        <f t="shared" si="9"/>
        <v>3.0710000000000002</v>
      </c>
    </row>
    <row r="289" spans="1:8" x14ac:dyDescent="0.25">
      <c r="A289">
        <v>2009</v>
      </c>
      <c r="B289">
        <v>413</v>
      </c>
      <c r="C289" t="s">
        <v>6</v>
      </c>
      <c r="D289" t="s">
        <v>7</v>
      </c>
      <c r="E289" s="3">
        <v>0.93302867408394818</v>
      </c>
      <c r="F289" s="3">
        <v>0.54617077839772732</v>
      </c>
      <c r="G289">
        <f t="shared" si="8"/>
        <v>0.53820000000000001</v>
      </c>
      <c r="H289">
        <f t="shared" si="9"/>
        <v>4.1470000000000002</v>
      </c>
    </row>
    <row r="290" spans="1:8" x14ac:dyDescent="0.25">
      <c r="A290">
        <v>2009</v>
      </c>
      <c r="B290">
        <v>414</v>
      </c>
      <c r="C290" t="s">
        <v>6</v>
      </c>
      <c r="D290" t="s">
        <v>7</v>
      </c>
      <c r="E290" s="3">
        <v>0.86114298671007161</v>
      </c>
      <c r="F290" s="3">
        <v>0.42958320573077252</v>
      </c>
      <c r="G290">
        <f t="shared" si="8"/>
        <v>0.53820000000000001</v>
      </c>
      <c r="H290">
        <f t="shared" si="9"/>
        <v>4.1470000000000002</v>
      </c>
    </row>
    <row r="291" spans="1:8" x14ac:dyDescent="0.25">
      <c r="A291">
        <v>2009</v>
      </c>
      <c r="B291">
        <v>415</v>
      </c>
      <c r="C291" t="s">
        <v>9</v>
      </c>
      <c r="D291" t="s">
        <v>13</v>
      </c>
      <c r="E291" s="3">
        <v>0.67394284448921682</v>
      </c>
      <c r="F291" s="3">
        <v>0.5834591548917909</v>
      </c>
      <c r="G291">
        <f t="shared" si="8"/>
        <v>0.70330000000000004</v>
      </c>
      <c r="H291">
        <f t="shared" si="9"/>
        <v>2.2469999999999999</v>
      </c>
    </row>
    <row r="292" spans="1:8" x14ac:dyDescent="0.25">
      <c r="A292">
        <v>2009</v>
      </c>
      <c r="B292">
        <v>416</v>
      </c>
      <c r="C292" t="s">
        <v>9</v>
      </c>
      <c r="D292" t="s">
        <v>10</v>
      </c>
      <c r="E292" s="3">
        <v>0.90460531538724898</v>
      </c>
      <c r="F292" s="3">
        <v>0.35115993600084372</v>
      </c>
      <c r="G292">
        <f t="shared" si="8"/>
        <v>0.36450000000000005</v>
      </c>
      <c r="H292">
        <f t="shared" si="9"/>
        <v>2.2469999999999999</v>
      </c>
    </row>
    <row r="293" spans="1:8" x14ac:dyDescent="0.25">
      <c r="A293">
        <v>2009</v>
      </c>
      <c r="B293">
        <v>416</v>
      </c>
      <c r="C293" t="s">
        <v>9</v>
      </c>
      <c r="D293" t="s">
        <v>13</v>
      </c>
      <c r="E293" s="3">
        <v>0.97812757903814318</v>
      </c>
      <c r="F293" s="3">
        <v>0.35115993600084372</v>
      </c>
      <c r="G293">
        <f t="shared" si="8"/>
        <v>0.70330000000000004</v>
      </c>
      <c r="H293">
        <f t="shared" si="9"/>
        <v>2.2469999999999999</v>
      </c>
    </row>
    <row r="294" spans="1:8" x14ac:dyDescent="0.25">
      <c r="A294">
        <v>2009</v>
      </c>
      <c r="B294">
        <v>417</v>
      </c>
      <c r="C294" t="s">
        <v>11</v>
      </c>
      <c r="D294" t="s">
        <v>13</v>
      </c>
      <c r="E294" s="3">
        <v>0.66493259435892105</v>
      </c>
      <c r="F294" s="3">
        <v>0.81180396797977517</v>
      </c>
      <c r="G294">
        <f t="shared" si="8"/>
        <v>0.70330000000000004</v>
      </c>
      <c r="H294">
        <f t="shared" si="9"/>
        <v>2.9630000000000001</v>
      </c>
    </row>
    <row r="295" spans="1:8" x14ac:dyDescent="0.25">
      <c r="A295">
        <v>2009</v>
      </c>
      <c r="B295">
        <v>420</v>
      </c>
      <c r="C295" t="s">
        <v>15</v>
      </c>
      <c r="D295" t="s">
        <v>13</v>
      </c>
      <c r="E295" s="3">
        <v>0.72005828959703444</v>
      </c>
      <c r="F295" s="3">
        <v>0.57924094749792743</v>
      </c>
      <c r="G295">
        <f t="shared" si="8"/>
        <v>0.70330000000000004</v>
      </c>
      <c r="H295">
        <f t="shared" si="9"/>
        <v>3.7829999999999999</v>
      </c>
    </row>
    <row r="296" spans="1:8" x14ac:dyDescent="0.25">
      <c r="A296">
        <v>2009</v>
      </c>
      <c r="B296">
        <v>421</v>
      </c>
      <c r="C296" t="s">
        <v>14</v>
      </c>
      <c r="D296" t="s">
        <v>7</v>
      </c>
      <c r="E296" s="3">
        <v>0.39594857270240791</v>
      </c>
      <c r="F296" s="3">
        <v>0.23510426518982808</v>
      </c>
      <c r="G296">
        <f t="shared" si="8"/>
        <v>0.53820000000000001</v>
      </c>
      <c r="H296">
        <f t="shared" si="9"/>
        <v>1.835</v>
      </c>
    </row>
    <row r="297" spans="1:8" x14ac:dyDescent="0.25">
      <c r="A297">
        <v>2009</v>
      </c>
      <c r="B297">
        <v>422</v>
      </c>
      <c r="C297" t="s">
        <v>15</v>
      </c>
      <c r="D297" t="s">
        <v>13</v>
      </c>
      <c r="E297" s="3">
        <v>0.97144811509847639</v>
      </c>
      <c r="F297" s="3">
        <v>0.40272134639530943</v>
      </c>
      <c r="G297">
        <f t="shared" si="8"/>
        <v>0.70330000000000004</v>
      </c>
      <c r="H297">
        <f t="shared" si="9"/>
        <v>3.7829999999999999</v>
      </c>
    </row>
    <row r="298" spans="1:8" x14ac:dyDescent="0.25">
      <c r="A298">
        <v>2009</v>
      </c>
      <c r="B298">
        <v>422</v>
      </c>
      <c r="C298" t="s">
        <v>15</v>
      </c>
      <c r="D298" t="s">
        <v>8</v>
      </c>
      <c r="E298" s="3">
        <v>0.99</v>
      </c>
      <c r="F298" s="3">
        <v>0.40272134639530943</v>
      </c>
      <c r="G298">
        <f t="shared" si="8"/>
        <v>0.71150000000000002</v>
      </c>
      <c r="H298">
        <f t="shared" si="9"/>
        <v>3.7829999999999999</v>
      </c>
    </row>
    <row r="299" spans="1:8" x14ac:dyDescent="0.25">
      <c r="A299">
        <v>2009</v>
      </c>
      <c r="B299">
        <v>424</v>
      </c>
      <c r="C299" t="s">
        <v>12</v>
      </c>
      <c r="D299" t="s">
        <v>10</v>
      </c>
      <c r="E299" s="3">
        <v>0.32902808469533928</v>
      </c>
      <c r="F299" s="3">
        <v>0.42056816169763911</v>
      </c>
      <c r="G299">
        <f t="shared" si="8"/>
        <v>0.36450000000000005</v>
      </c>
      <c r="H299">
        <f t="shared" si="9"/>
        <v>1.1639999999999999</v>
      </c>
    </row>
    <row r="300" spans="1:8" x14ac:dyDescent="0.25">
      <c r="A300">
        <v>2009</v>
      </c>
      <c r="B300">
        <v>425</v>
      </c>
      <c r="C300" t="s">
        <v>11</v>
      </c>
      <c r="D300" t="s">
        <v>13</v>
      </c>
      <c r="E300" s="3">
        <v>0.83681874606609341</v>
      </c>
      <c r="F300" s="3">
        <v>0.45937742314148589</v>
      </c>
      <c r="G300">
        <f t="shared" si="8"/>
        <v>0.70330000000000004</v>
      </c>
      <c r="H300">
        <f t="shared" si="9"/>
        <v>2.9630000000000001</v>
      </c>
    </row>
    <row r="301" spans="1:8" x14ac:dyDescent="0.25">
      <c r="A301">
        <v>2009</v>
      </c>
      <c r="B301">
        <v>426</v>
      </c>
      <c r="C301" t="s">
        <v>6</v>
      </c>
      <c r="D301" t="s">
        <v>13</v>
      </c>
      <c r="E301" s="3">
        <v>0.94174716738641262</v>
      </c>
      <c r="F301" s="3">
        <v>0.22370268298926882</v>
      </c>
      <c r="G301">
        <f t="shared" si="8"/>
        <v>0.70330000000000004</v>
      </c>
      <c r="H301">
        <f t="shared" si="9"/>
        <v>4.1470000000000002</v>
      </c>
    </row>
    <row r="302" spans="1:8" x14ac:dyDescent="0.25">
      <c r="A302">
        <v>2009</v>
      </c>
      <c r="B302">
        <v>427</v>
      </c>
      <c r="C302" t="s">
        <v>16</v>
      </c>
      <c r="D302" t="s">
        <v>7</v>
      </c>
      <c r="E302" s="3">
        <v>0.81332003553509713</v>
      </c>
      <c r="F302" s="3">
        <v>0.33598906432431858</v>
      </c>
      <c r="G302">
        <f t="shared" si="8"/>
        <v>0.53820000000000001</v>
      </c>
      <c r="H302">
        <f t="shared" si="9"/>
        <v>3.0710000000000002</v>
      </c>
    </row>
    <row r="303" spans="1:8" x14ac:dyDescent="0.25">
      <c r="A303">
        <v>2009</v>
      </c>
      <c r="B303">
        <v>429</v>
      </c>
      <c r="C303" t="s">
        <v>12</v>
      </c>
      <c r="D303" t="s">
        <v>10</v>
      </c>
      <c r="E303" s="3">
        <v>0.60861715112984183</v>
      </c>
      <c r="F303" s="3">
        <v>0.91617196132059298</v>
      </c>
      <c r="G303">
        <f t="shared" si="8"/>
        <v>0.36450000000000005</v>
      </c>
      <c r="H303">
        <f t="shared" si="9"/>
        <v>1.1639999999999999</v>
      </c>
    </row>
    <row r="304" spans="1:8" x14ac:dyDescent="0.25">
      <c r="A304">
        <v>2009</v>
      </c>
      <c r="B304">
        <v>430</v>
      </c>
      <c r="C304" t="s">
        <v>11</v>
      </c>
      <c r="D304" t="s">
        <v>7</v>
      </c>
      <c r="E304" s="3">
        <v>0.84883729082107551</v>
      </c>
      <c r="F304" s="3">
        <v>0.21785293847142356</v>
      </c>
      <c r="G304">
        <f t="shared" si="8"/>
        <v>0.53820000000000001</v>
      </c>
      <c r="H304">
        <f t="shared" si="9"/>
        <v>2.9630000000000001</v>
      </c>
    </row>
    <row r="305" spans="1:8" x14ac:dyDescent="0.25">
      <c r="A305">
        <v>2009</v>
      </c>
      <c r="B305">
        <v>431</v>
      </c>
      <c r="C305" t="s">
        <v>9</v>
      </c>
      <c r="D305" t="s">
        <v>7</v>
      </c>
      <c r="E305" s="3">
        <v>0.93340069661736491</v>
      </c>
      <c r="F305" s="3">
        <v>0.60324383641744472</v>
      </c>
      <c r="G305">
        <f t="shared" si="8"/>
        <v>0.53820000000000001</v>
      </c>
      <c r="H305">
        <f t="shared" si="9"/>
        <v>2.2469999999999999</v>
      </c>
    </row>
    <row r="306" spans="1:8" x14ac:dyDescent="0.25">
      <c r="A306">
        <v>2009</v>
      </c>
      <c r="B306">
        <v>432</v>
      </c>
      <c r="C306" t="s">
        <v>6</v>
      </c>
      <c r="D306" t="s">
        <v>7</v>
      </c>
      <c r="E306" s="3">
        <v>0.98656320883512494</v>
      </c>
      <c r="F306" s="3">
        <v>0.23844340166327446</v>
      </c>
      <c r="G306">
        <f t="shared" si="8"/>
        <v>0.53820000000000001</v>
      </c>
      <c r="H306">
        <f t="shared" si="9"/>
        <v>4.1470000000000002</v>
      </c>
    </row>
    <row r="307" spans="1:8" x14ac:dyDescent="0.25">
      <c r="A307">
        <v>2009</v>
      </c>
      <c r="B307">
        <v>433</v>
      </c>
      <c r="C307" t="s">
        <v>15</v>
      </c>
      <c r="D307" t="s">
        <v>7</v>
      </c>
      <c r="E307" s="3">
        <v>0.22312359634160994</v>
      </c>
      <c r="F307" s="3">
        <v>0.19352768757885314</v>
      </c>
      <c r="G307">
        <f t="shared" si="8"/>
        <v>0.53820000000000001</v>
      </c>
      <c r="H307">
        <f t="shared" si="9"/>
        <v>3.7829999999999999</v>
      </c>
    </row>
    <row r="308" spans="1:8" x14ac:dyDescent="0.25">
      <c r="A308">
        <v>2009</v>
      </c>
      <c r="B308">
        <v>433</v>
      </c>
      <c r="C308" t="s">
        <v>15</v>
      </c>
      <c r="D308" t="s">
        <v>13</v>
      </c>
      <c r="E308" s="3">
        <v>0.56960786878764624</v>
      </c>
      <c r="F308" s="3">
        <v>0.19352768757885314</v>
      </c>
      <c r="G308">
        <f t="shared" si="8"/>
        <v>0.70330000000000004</v>
      </c>
      <c r="H308">
        <f t="shared" si="9"/>
        <v>3.7829999999999999</v>
      </c>
    </row>
    <row r="309" spans="1:8" x14ac:dyDescent="0.25">
      <c r="A309">
        <v>2009</v>
      </c>
      <c r="B309">
        <v>434</v>
      </c>
      <c r="C309" t="s">
        <v>6</v>
      </c>
      <c r="D309" t="s">
        <v>13</v>
      </c>
      <c r="E309" s="3">
        <v>0.71347668892145166</v>
      </c>
      <c r="F309" s="3">
        <v>0.80560474625843836</v>
      </c>
      <c r="G309">
        <f t="shared" si="8"/>
        <v>0.70330000000000004</v>
      </c>
      <c r="H309">
        <f t="shared" si="9"/>
        <v>4.1470000000000002</v>
      </c>
    </row>
    <row r="310" spans="1:8" x14ac:dyDescent="0.25">
      <c r="A310">
        <v>2009</v>
      </c>
      <c r="B310">
        <v>435</v>
      </c>
      <c r="C310" t="s">
        <v>6</v>
      </c>
      <c r="D310" t="s">
        <v>7</v>
      </c>
      <c r="E310" s="3">
        <v>0.66546670871973035</v>
      </c>
      <c r="F310" s="3">
        <v>0.33545556635133167</v>
      </c>
      <c r="G310">
        <f t="shared" si="8"/>
        <v>0.53820000000000001</v>
      </c>
      <c r="H310">
        <f t="shared" si="9"/>
        <v>4.1470000000000002</v>
      </c>
    </row>
    <row r="311" spans="1:8" x14ac:dyDescent="0.25">
      <c r="A311">
        <v>2009</v>
      </c>
      <c r="B311">
        <v>436</v>
      </c>
      <c r="C311" t="s">
        <v>9</v>
      </c>
      <c r="D311" t="s">
        <v>7</v>
      </c>
      <c r="E311" s="3">
        <v>0.40580793209373955</v>
      </c>
      <c r="F311" s="3">
        <v>0.44963105555271604</v>
      </c>
      <c r="G311">
        <f t="shared" si="8"/>
        <v>0.53820000000000001</v>
      </c>
      <c r="H311">
        <f t="shared" si="9"/>
        <v>2.2469999999999999</v>
      </c>
    </row>
    <row r="312" spans="1:8" x14ac:dyDescent="0.25">
      <c r="A312">
        <v>2009</v>
      </c>
      <c r="B312">
        <v>437</v>
      </c>
      <c r="C312" t="s">
        <v>12</v>
      </c>
      <c r="D312" t="s">
        <v>7</v>
      </c>
      <c r="E312" s="3">
        <v>0.27363625454902651</v>
      </c>
      <c r="F312" s="3">
        <v>0.56244521561048766</v>
      </c>
      <c r="G312">
        <f t="shared" si="8"/>
        <v>0.53820000000000001</v>
      </c>
      <c r="H312">
        <f t="shared" si="9"/>
        <v>1.1639999999999999</v>
      </c>
    </row>
    <row r="313" spans="1:8" x14ac:dyDescent="0.25">
      <c r="A313">
        <v>2009</v>
      </c>
      <c r="B313">
        <v>438</v>
      </c>
      <c r="C313" t="s">
        <v>11</v>
      </c>
      <c r="D313" t="s">
        <v>7</v>
      </c>
      <c r="E313" s="3">
        <v>0.32151876230001464</v>
      </c>
      <c r="F313" s="3">
        <v>0.13149667786033031</v>
      </c>
      <c r="G313">
        <f t="shared" si="8"/>
        <v>0.53820000000000001</v>
      </c>
      <c r="H313">
        <f t="shared" si="9"/>
        <v>2.9630000000000001</v>
      </c>
    </row>
    <row r="314" spans="1:8" x14ac:dyDescent="0.25">
      <c r="A314">
        <v>2009</v>
      </c>
      <c r="B314">
        <v>439</v>
      </c>
      <c r="C314" t="s">
        <v>15</v>
      </c>
      <c r="D314" t="s">
        <v>7</v>
      </c>
      <c r="E314" s="3">
        <v>0.99</v>
      </c>
      <c r="F314" s="3">
        <v>0.2703988854062313</v>
      </c>
      <c r="G314">
        <f t="shared" si="8"/>
        <v>0.53820000000000001</v>
      </c>
      <c r="H314">
        <f t="shared" si="9"/>
        <v>3.7829999999999999</v>
      </c>
    </row>
    <row r="315" spans="1:8" x14ac:dyDescent="0.25">
      <c r="A315">
        <v>2009</v>
      </c>
      <c r="B315">
        <v>439</v>
      </c>
      <c r="C315" t="s">
        <v>15</v>
      </c>
      <c r="D315" t="s">
        <v>13</v>
      </c>
      <c r="E315" s="3">
        <v>0.99</v>
      </c>
      <c r="F315" s="3">
        <v>0.2703988854062313</v>
      </c>
      <c r="G315">
        <f t="shared" si="8"/>
        <v>0.70330000000000004</v>
      </c>
      <c r="H315">
        <f t="shared" si="9"/>
        <v>3.7829999999999999</v>
      </c>
    </row>
    <row r="316" spans="1:8" x14ac:dyDescent="0.25">
      <c r="A316">
        <v>2009</v>
      </c>
      <c r="B316">
        <v>441</v>
      </c>
      <c r="C316" t="s">
        <v>9</v>
      </c>
      <c r="D316" t="s">
        <v>7</v>
      </c>
      <c r="E316" s="3">
        <v>0.61800208950042723</v>
      </c>
      <c r="F316" s="3">
        <v>0.24225793738965759</v>
      </c>
      <c r="G316">
        <f t="shared" si="8"/>
        <v>0.53820000000000001</v>
      </c>
      <c r="H316">
        <f t="shared" si="9"/>
        <v>2.2469999999999999</v>
      </c>
    </row>
    <row r="317" spans="1:8" x14ac:dyDescent="0.25">
      <c r="A317">
        <v>2009</v>
      </c>
      <c r="B317">
        <v>445</v>
      </c>
      <c r="C317" t="s">
        <v>16</v>
      </c>
      <c r="D317" t="s">
        <v>7</v>
      </c>
      <c r="E317" s="3">
        <v>0.90121015389144421</v>
      </c>
      <c r="F317" s="3">
        <v>0.88480253786615271</v>
      </c>
      <c r="G317">
        <f t="shared" si="8"/>
        <v>0.53820000000000001</v>
      </c>
      <c r="H317">
        <f t="shared" si="9"/>
        <v>3.0710000000000002</v>
      </c>
    </row>
    <row r="318" spans="1:8" x14ac:dyDescent="0.25">
      <c r="A318">
        <v>2009</v>
      </c>
      <c r="B318">
        <v>446</v>
      </c>
      <c r="C318" t="s">
        <v>15</v>
      </c>
      <c r="D318" t="s">
        <v>10</v>
      </c>
      <c r="E318" s="3">
        <v>0.74825554385721682</v>
      </c>
      <c r="F318" s="3">
        <v>0.60745281868200707</v>
      </c>
      <c r="G318">
        <f t="shared" si="8"/>
        <v>0.36450000000000005</v>
      </c>
      <c r="H318">
        <f t="shared" si="9"/>
        <v>3.7829999999999999</v>
      </c>
    </row>
  </sheetData>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M318"/>
  <sheetViews>
    <sheetView workbookViewId="0">
      <selection activeCell="K4" sqref="K4"/>
    </sheetView>
  </sheetViews>
  <sheetFormatPr defaultRowHeight="15" x14ac:dyDescent="0.25"/>
  <cols>
    <col min="9" max="9" width="12" customWidth="1"/>
  </cols>
  <sheetData>
    <row r="1" spans="1:13" x14ac:dyDescent="0.25">
      <c r="A1" t="str">
        <f>'building data set'!A1</f>
        <v>Year</v>
      </c>
      <c r="B1" t="str">
        <f>'building data set'!B1</f>
        <v>ID</v>
      </c>
      <c r="C1" t="str">
        <f>'building data set'!C1</f>
        <v>Industry</v>
      </c>
      <c r="D1" t="str">
        <f>'building data set'!D1</f>
        <v>Type</v>
      </c>
      <c r="E1" t="str">
        <f>'building data set'!E1</f>
        <v>LGD</v>
      </c>
      <c r="F1" t="str">
        <f>'building data set'!F1</f>
        <v>LEV</v>
      </c>
      <c r="G1" t="str">
        <f>'building data set'!G1</f>
        <v>LGD_A</v>
      </c>
      <c r="H1" t="str">
        <f>'building data set'!H1</f>
        <v>I_DEF</v>
      </c>
      <c r="I1" s="8"/>
      <c r="J1" s="8" t="s">
        <v>20</v>
      </c>
      <c r="K1" s="8" t="s">
        <v>19</v>
      </c>
      <c r="L1" s="8" t="s">
        <v>5</v>
      </c>
      <c r="M1" s="8" t="s">
        <v>21</v>
      </c>
    </row>
    <row r="2" spans="1:13" x14ac:dyDescent="0.25">
      <c r="A2">
        <f>'building data set'!A2</f>
        <v>2007</v>
      </c>
      <c r="B2">
        <f>'building data set'!B2</f>
        <v>1</v>
      </c>
      <c r="C2" t="str">
        <f>'building data set'!C2</f>
        <v>Media</v>
      </c>
      <c r="D2" t="str">
        <f>'building data set'!D2</f>
        <v>Sr. Unsec.</v>
      </c>
      <c r="E2">
        <f>'building data set'!E2</f>
        <v>0.74757345077395443</v>
      </c>
      <c r="F2">
        <f>'building data set'!F2</f>
        <v>0.4139897858986048</v>
      </c>
      <c r="G2">
        <f>'building data set'!G2</f>
        <v>0.62609999999999999</v>
      </c>
      <c r="H2">
        <f>'building data set'!H2</f>
        <v>1.415</v>
      </c>
      <c r="I2" s="10" t="s">
        <v>22</v>
      </c>
      <c r="J2" s="9">
        <f t="array" ref="J2:M4">clinest(E2:E318,F2:H318,B2:B318)</f>
        <v>2.8935985148592601E-2</v>
      </c>
      <c r="K2" s="9">
        <v>0.5056925952589455</v>
      </c>
      <c r="L2" s="9">
        <v>0.18267300451628662</v>
      </c>
      <c r="M2" s="9">
        <v>0.19587913052804931</v>
      </c>
    </row>
    <row r="3" spans="1:13" x14ac:dyDescent="0.25">
      <c r="A3">
        <f>'building data set'!A3</f>
        <v>2007</v>
      </c>
      <c r="B3">
        <f>'building data set'!B3</f>
        <v>1</v>
      </c>
      <c r="C3" t="str">
        <f>'building data set'!C3</f>
        <v>Media</v>
      </c>
      <c r="D3" t="str">
        <f>'building data set'!D3</f>
        <v>Sub.</v>
      </c>
      <c r="E3">
        <f>'building data set'!E3</f>
        <v>0.99</v>
      </c>
      <c r="F3">
        <f>'building data set'!F3</f>
        <v>0.4139897858986048</v>
      </c>
      <c r="G3">
        <f>'building data set'!G3</f>
        <v>0.68489999999999995</v>
      </c>
      <c r="H3">
        <f>'building data set'!H3</f>
        <v>1.415</v>
      </c>
      <c r="I3" s="10" t="s">
        <v>23</v>
      </c>
      <c r="J3" s="9">
        <v>1.4153471650750017E-2</v>
      </c>
      <c r="K3" s="9">
        <v>0.15505965140081129</v>
      </c>
      <c r="L3" s="9">
        <v>6.8422477295546472E-2</v>
      </c>
      <c r="M3" s="9">
        <v>0.10352926447887123</v>
      </c>
    </row>
    <row r="4" spans="1:13" x14ac:dyDescent="0.25">
      <c r="A4">
        <f>'building data set'!A4</f>
        <v>2007</v>
      </c>
      <c r="B4">
        <f>'building data set'!B4</f>
        <v>2</v>
      </c>
      <c r="C4" t="str">
        <f>'building data set'!C4</f>
        <v>Retail</v>
      </c>
      <c r="D4" t="str">
        <f>'building data set'!D4</f>
        <v>Sr. Sec.</v>
      </c>
      <c r="E4">
        <f>'building data set'!E4</f>
        <v>6.5810750338203716E-2</v>
      </c>
      <c r="F4">
        <f>'building data set'!F4</f>
        <v>0.23036114242977343</v>
      </c>
      <c r="G4">
        <f>'building data set'!G4</f>
        <v>0.45660000000000001</v>
      </c>
      <c r="H4">
        <f>'building data set'!H4</f>
        <v>1.1830000000000001</v>
      </c>
      <c r="I4" s="10" t="s">
        <v>24</v>
      </c>
      <c r="J4" s="9">
        <v>7.2737739980823182E-2</v>
      </c>
      <c r="K4" s="9">
        <v>0.27881171847967129</v>
      </c>
      <c r="L4" s="9" t="e">
        <v>#N/A</v>
      </c>
      <c r="M4" s="9" t="e">
        <v>#N/A</v>
      </c>
    </row>
    <row r="5" spans="1:13" x14ac:dyDescent="0.25">
      <c r="A5">
        <f>'building data set'!A5</f>
        <v>2007</v>
      </c>
      <c r="B5">
        <f>'building data set'!B5</f>
        <v>3</v>
      </c>
      <c r="C5" t="str">
        <f>'building data set'!C5</f>
        <v>Transp</v>
      </c>
      <c r="D5" t="str">
        <f>'building data set'!D5</f>
        <v>Sr. Unsec.</v>
      </c>
      <c r="E5">
        <f>'building data set'!E5</f>
        <v>0.35128799169906799</v>
      </c>
      <c r="F5">
        <f>'building data set'!F5</f>
        <v>0.54133930867264546</v>
      </c>
      <c r="G5">
        <f>'building data set'!G5</f>
        <v>0.62609999999999999</v>
      </c>
      <c r="H5">
        <f>'building data set'!H5</f>
        <v>2.3530000000000002</v>
      </c>
      <c r="I5" s="10"/>
      <c r="J5" s="9"/>
      <c r="K5" s="9"/>
      <c r="L5" s="9"/>
      <c r="M5" s="9"/>
    </row>
    <row r="6" spans="1:13" x14ac:dyDescent="0.25">
      <c r="A6">
        <f>'building data set'!A6</f>
        <v>2007</v>
      </c>
      <c r="B6">
        <f>'building data set'!B6</f>
        <v>3</v>
      </c>
      <c r="C6" t="str">
        <f>'building data set'!C6</f>
        <v>Transp</v>
      </c>
      <c r="D6" t="str">
        <f>'building data set'!D6</f>
        <v>Sr. Sec.</v>
      </c>
      <c r="E6">
        <f>'building data set'!E6</f>
        <v>0.25844920997567156</v>
      </c>
      <c r="F6">
        <f>'building data set'!F6</f>
        <v>0.54133930867264546</v>
      </c>
      <c r="G6">
        <f>'building data set'!G6</f>
        <v>0.45660000000000001</v>
      </c>
      <c r="H6">
        <f>'building data set'!H6</f>
        <v>2.3530000000000002</v>
      </c>
      <c r="I6" s="10" t="s">
        <v>25</v>
      </c>
      <c r="J6" s="9">
        <f>J2/J3</f>
        <v>2.0444443499527716</v>
      </c>
      <c r="K6" s="9">
        <f t="shared" ref="K6:M6" si="0">K2/K3</f>
        <v>3.2612777772328956</v>
      </c>
      <c r="L6" s="9">
        <f t="shared" si="0"/>
        <v>2.6697806296495576</v>
      </c>
      <c r="M6" s="9">
        <f t="shared" si="0"/>
        <v>1.8920170206369553</v>
      </c>
    </row>
    <row r="7" spans="1:13" x14ac:dyDescent="0.25">
      <c r="A7">
        <f>'building data set'!A7</f>
        <v>2007</v>
      </c>
      <c r="B7">
        <f>'building data set'!B7</f>
        <v>4</v>
      </c>
      <c r="C7" t="str">
        <f>'building data set'!C7</f>
        <v>Tech</v>
      </c>
      <c r="D7" t="str">
        <f>'building data set'!D7</f>
        <v>Sr. Sub.</v>
      </c>
      <c r="E7">
        <f>'building data set'!E7</f>
        <v>1.9680090408217832E-2</v>
      </c>
      <c r="F7">
        <f>'building data set'!F7</f>
        <v>0.81200000000000006</v>
      </c>
      <c r="G7">
        <f>'building data set'!G7</f>
        <v>0.67149999999999999</v>
      </c>
      <c r="H7">
        <f>'building data set'!H7</f>
        <v>0.74299999999999999</v>
      </c>
    </row>
    <row r="8" spans="1:13" x14ac:dyDescent="0.25">
      <c r="A8">
        <f>'building data set'!A8</f>
        <v>2007</v>
      </c>
      <c r="B8">
        <f>'building data set'!B8</f>
        <v>6</v>
      </c>
      <c r="C8" t="str">
        <f>'building data set'!C8</f>
        <v>Transp</v>
      </c>
      <c r="D8" t="str">
        <f>'building data set'!D8</f>
        <v>Sr. Sub.</v>
      </c>
      <c r="E8">
        <f>'building data set'!E8</f>
        <v>0.93103551289458553</v>
      </c>
      <c r="F8">
        <f>'building data set'!F8</f>
        <v>0.54673222886580675</v>
      </c>
      <c r="G8">
        <f>'building data set'!G8</f>
        <v>0.67149999999999999</v>
      </c>
      <c r="H8">
        <f>'building data set'!H8</f>
        <v>2.3530000000000002</v>
      </c>
    </row>
    <row r="9" spans="1:13" x14ac:dyDescent="0.25">
      <c r="A9">
        <f>'building data set'!A9</f>
        <v>2007</v>
      </c>
      <c r="B9">
        <f>'building data set'!B9</f>
        <v>7</v>
      </c>
      <c r="C9" t="str">
        <f>'building data set'!C9</f>
        <v>Retail</v>
      </c>
      <c r="D9" t="str">
        <f>'building data set'!D9</f>
        <v>Sr. Sub.</v>
      </c>
      <c r="E9">
        <f>'building data set'!E9</f>
        <v>0.34125492454895112</v>
      </c>
      <c r="F9">
        <f>'building data set'!F9</f>
        <v>0.71</v>
      </c>
      <c r="G9">
        <f>'building data set'!G9</f>
        <v>0.67149999999999999</v>
      </c>
      <c r="H9">
        <f>'building data set'!H9</f>
        <v>1.1830000000000001</v>
      </c>
    </row>
    <row r="10" spans="1:13" x14ac:dyDescent="0.25">
      <c r="A10">
        <f>'building data set'!A10</f>
        <v>2007</v>
      </c>
      <c r="B10">
        <f>'building data set'!B10</f>
        <v>8</v>
      </c>
      <c r="C10" t="str">
        <f>'building data set'!C10</f>
        <v>Transp</v>
      </c>
      <c r="D10" t="str">
        <f>'building data set'!D10</f>
        <v>Sr. Sub.</v>
      </c>
      <c r="E10">
        <f>'building data set'!E10</f>
        <v>0.35075455977469705</v>
      </c>
      <c r="F10">
        <f>'building data set'!F10</f>
        <v>0.85533936081795725</v>
      </c>
      <c r="G10">
        <f>'building data set'!G10</f>
        <v>0.67149999999999999</v>
      </c>
      <c r="H10">
        <f>'building data set'!H10</f>
        <v>2.3530000000000002</v>
      </c>
    </row>
    <row r="11" spans="1:13" x14ac:dyDescent="0.25">
      <c r="A11">
        <f>'building data set'!A11</f>
        <v>2007</v>
      </c>
      <c r="B11">
        <f>'building data set'!B11</f>
        <v>9</v>
      </c>
      <c r="C11" t="str">
        <f>'building data set'!C11</f>
        <v>Tech</v>
      </c>
      <c r="D11" t="str">
        <f>'building data set'!D11</f>
        <v>Sr. Unsec.</v>
      </c>
      <c r="E11">
        <f>'building data set'!E11</f>
        <v>4.5826764176957413E-2</v>
      </c>
      <c r="F11">
        <f>'building data set'!F11</f>
        <v>0.31398323653338439</v>
      </c>
      <c r="G11">
        <f>'building data set'!G11</f>
        <v>0.62609999999999999</v>
      </c>
      <c r="H11">
        <f>'building data set'!H11</f>
        <v>0.74299999999999999</v>
      </c>
    </row>
    <row r="12" spans="1:13" x14ac:dyDescent="0.25">
      <c r="A12">
        <f>'building data set'!A12</f>
        <v>2007</v>
      </c>
      <c r="B12">
        <f>'building data set'!B12</f>
        <v>10</v>
      </c>
      <c r="C12" t="str">
        <f>'building data set'!C12</f>
        <v>Energy</v>
      </c>
      <c r="D12" t="str">
        <f>'building data set'!D12</f>
        <v>Sr. Sec.</v>
      </c>
      <c r="E12">
        <f>'building data set'!E12</f>
        <v>2.5754192763850048E-2</v>
      </c>
      <c r="F12">
        <f>'building data set'!F12</f>
        <v>0.1906482365410154</v>
      </c>
      <c r="G12">
        <f>'building data set'!G12</f>
        <v>0.45660000000000001</v>
      </c>
      <c r="H12">
        <f>'building data set'!H12</f>
        <v>0</v>
      </c>
    </row>
    <row r="13" spans="1:13" x14ac:dyDescent="0.25">
      <c r="A13">
        <f>'building data set'!A13</f>
        <v>2007</v>
      </c>
      <c r="B13">
        <f>'building data set'!B13</f>
        <v>11</v>
      </c>
      <c r="C13" t="str">
        <f>'building data set'!C13</f>
        <v>Transp</v>
      </c>
      <c r="D13" t="str">
        <f>'building data set'!D13</f>
        <v>Sr. Unsec.</v>
      </c>
      <c r="E13">
        <f>'building data set'!E13</f>
        <v>0.75973256755290175</v>
      </c>
      <c r="F13">
        <f>'building data set'!F13</f>
        <v>0.49095375606826613</v>
      </c>
      <c r="G13">
        <f>'building data set'!G13</f>
        <v>0.62609999999999999</v>
      </c>
      <c r="H13">
        <f>'building data set'!H13</f>
        <v>2.3530000000000002</v>
      </c>
    </row>
    <row r="14" spans="1:13" x14ac:dyDescent="0.25">
      <c r="A14">
        <f>'building data set'!A14</f>
        <v>2007</v>
      </c>
      <c r="B14">
        <f>'building data set'!B14</f>
        <v>12</v>
      </c>
      <c r="C14" t="str">
        <f>'building data set'!C14</f>
        <v>Media</v>
      </c>
      <c r="D14" t="str">
        <f>'building data set'!D14</f>
        <v>Sr. Unsec.</v>
      </c>
      <c r="E14">
        <f>'building data set'!E14</f>
        <v>0.75798999853079407</v>
      </c>
      <c r="F14">
        <f>'building data set'!F14</f>
        <v>0.91078875873769793</v>
      </c>
      <c r="G14">
        <f>'building data set'!G14</f>
        <v>0.62609999999999999</v>
      </c>
      <c r="H14">
        <f>'building data set'!H14</f>
        <v>1.415</v>
      </c>
    </row>
    <row r="15" spans="1:13" x14ac:dyDescent="0.25">
      <c r="A15">
        <f>'building data set'!A15</f>
        <v>2007</v>
      </c>
      <c r="B15">
        <f>'building data set'!B15</f>
        <v>13</v>
      </c>
      <c r="C15" t="str">
        <f>'building data set'!C15</f>
        <v>Retail</v>
      </c>
      <c r="D15" t="str">
        <f>'building data set'!D15</f>
        <v>Sr. Unsec.</v>
      </c>
      <c r="E15">
        <f>'building data set'!E15</f>
        <v>0.6</v>
      </c>
      <c r="F15">
        <f>'building data set'!F15</f>
        <v>0.33607151817437908</v>
      </c>
      <c r="G15">
        <f>'building data set'!G15</f>
        <v>0.62609999999999999</v>
      </c>
      <c r="H15">
        <f>'building data set'!H15</f>
        <v>1.1830000000000001</v>
      </c>
    </row>
    <row r="16" spans="1:13" x14ac:dyDescent="0.25">
      <c r="A16">
        <f>'building data set'!A16</f>
        <v>2007</v>
      </c>
      <c r="B16">
        <f>'building data set'!B16</f>
        <v>14</v>
      </c>
      <c r="C16" t="str">
        <f>'building data set'!C16</f>
        <v>Cons G</v>
      </c>
      <c r="D16" t="str">
        <f>'building data set'!D16</f>
        <v>Sr. Sec.</v>
      </c>
      <c r="E16">
        <f>'building data set'!E16</f>
        <v>0.37448025577302113</v>
      </c>
      <c r="F16">
        <f>'building data set'!F16</f>
        <v>0.41486237404570397</v>
      </c>
      <c r="G16">
        <f>'building data set'!G16</f>
        <v>0.45660000000000001</v>
      </c>
      <c r="H16">
        <f>'building data set'!H16</f>
        <v>0.96699999999999997</v>
      </c>
    </row>
    <row r="17" spans="1:8" x14ac:dyDescent="0.25">
      <c r="A17">
        <f>'building data set'!A17</f>
        <v>2007</v>
      </c>
      <c r="B17">
        <f>'building data set'!B17</f>
        <v>15</v>
      </c>
      <c r="C17" t="str">
        <f>'building data set'!C17</f>
        <v>Retail</v>
      </c>
      <c r="D17" t="str">
        <f>'building data set'!D17</f>
        <v>Sr. Unsec.</v>
      </c>
      <c r="E17">
        <f>'building data set'!E17</f>
        <v>0.16872640728709642</v>
      </c>
      <c r="F17">
        <f>'building data set'!F17</f>
        <v>0.61206399494771813</v>
      </c>
      <c r="G17">
        <f>'building data set'!G17</f>
        <v>0.62609999999999999</v>
      </c>
      <c r="H17">
        <f>'building data set'!H17</f>
        <v>1.1830000000000001</v>
      </c>
    </row>
    <row r="18" spans="1:8" x14ac:dyDescent="0.25">
      <c r="A18">
        <f>'building data set'!A18</f>
        <v>2007</v>
      </c>
      <c r="B18">
        <f>'building data set'!B18</f>
        <v>16</v>
      </c>
      <c r="C18" t="str">
        <f>'building data set'!C18</f>
        <v>Transp</v>
      </c>
      <c r="D18" t="str">
        <f>'building data set'!D18</f>
        <v>Sr. Unsec.</v>
      </c>
      <c r="E18">
        <f>'building data set'!E18</f>
        <v>0.28390964250291317</v>
      </c>
      <c r="F18">
        <f>'building data set'!F18</f>
        <v>0.69392871672528511</v>
      </c>
      <c r="G18">
        <f>'building data set'!G18</f>
        <v>0.62609999999999999</v>
      </c>
      <c r="H18">
        <f>'building data set'!H18</f>
        <v>2.3530000000000002</v>
      </c>
    </row>
    <row r="19" spans="1:8" x14ac:dyDescent="0.25">
      <c r="A19">
        <f>'building data set'!A19</f>
        <v>2007</v>
      </c>
      <c r="B19">
        <f>'building data set'!B19</f>
        <v>17</v>
      </c>
      <c r="C19" t="str">
        <f>'building data set'!C19</f>
        <v>Media</v>
      </c>
      <c r="D19" t="str">
        <f>'building data set'!D19</f>
        <v>Sr. Unsec.</v>
      </c>
      <c r="E19">
        <f>'building data set'!E19</f>
        <v>0.74701838219018102</v>
      </c>
      <c r="F19">
        <f>'building data set'!F19</f>
        <v>0.93707243124105388</v>
      </c>
      <c r="G19">
        <f>'building data set'!G19</f>
        <v>0.62609999999999999</v>
      </c>
      <c r="H19">
        <f>'building data set'!H19</f>
        <v>1.415</v>
      </c>
    </row>
    <row r="20" spans="1:8" x14ac:dyDescent="0.25">
      <c r="A20">
        <f>'building data set'!A20</f>
        <v>2007</v>
      </c>
      <c r="B20">
        <f>'building data set'!B20</f>
        <v>21</v>
      </c>
      <c r="C20" t="str">
        <f>'building data set'!C20</f>
        <v>Transp</v>
      </c>
      <c r="D20" t="str">
        <f>'building data set'!D20</f>
        <v>Sr. Sub.</v>
      </c>
      <c r="E20">
        <f>'building data set'!E20</f>
        <v>0.68630005856286913</v>
      </c>
      <c r="F20">
        <f>'building data set'!F20</f>
        <v>0.80116253214876176</v>
      </c>
      <c r="G20">
        <f>'building data set'!G20</f>
        <v>0.67149999999999999</v>
      </c>
      <c r="H20">
        <f>'building data set'!H20</f>
        <v>2.3530000000000002</v>
      </c>
    </row>
    <row r="21" spans="1:8" x14ac:dyDescent="0.25">
      <c r="A21">
        <f>'building data set'!A21</f>
        <v>2007</v>
      </c>
      <c r="B21">
        <f>'building data set'!B21</f>
        <v>22</v>
      </c>
      <c r="C21" t="str">
        <f>'building data set'!C21</f>
        <v>Energy</v>
      </c>
      <c r="D21" t="str">
        <f>'building data set'!D21</f>
        <v>Sr. Sec.</v>
      </c>
      <c r="E21">
        <f>'building data set'!E21</f>
        <v>5.0051313017193122E-2</v>
      </c>
      <c r="F21">
        <f>'building data set'!F21</f>
        <v>0.36572506640451663</v>
      </c>
      <c r="G21">
        <f>'building data set'!G21</f>
        <v>0.45660000000000001</v>
      </c>
      <c r="H21">
        <f>'building data set'!H21</f>
        <v>0</v>
      </c>
    </row>
    <row r="22" spans="1:8" x14ac:dyDescent="0.25">
      <c r="A22">
        <f>'building data set'!A22</f>
        <v>2007</v>
      </c>
      <c r="B22">
        <f>'building data set'!B22</f>
        <v>23</v>
      </c>
      <c r="C22" t="str">
        <f>'building data set'!C22</f>
        <v>Retail</v>
      </c>
      <c r="D22" t="str">
        <f>'building data set'!D22</f>
        <v>Sr. Sub.</v>
      </c>
      <c r="E22">
        <f>'building data set'!E22</f>
        <v>0.66432001241815719</v>
      </c>
      <c r="F22">
        <f>'building data set'!F22</f>
        <v>0.17701373287072394</v>
      </c>
      <c r="G22">
        <f>'building data set'!G22</f>
        <v>0.67149999999999999</v>
      </c>
      <c r="H22">
        <f>'building data set'!H22</f>
        <v>1.1830000000000001</v>
      </c>
    </row>
    <row r="23" spans="1:8" x14ac:dyDescent="0.25">
      <c r="A23">
        <f>'building data set'!A23</f>
        <v>2007</v>
      </c>
      <c r="B23">
        <f>'building data set'!B23</f>
        <v>24</v>
      </c>
      <c r="C23" t="str">
        <f>'building data set'!C23</f>
        <v>Transp</v>
      </c>
      <c r="D23" t="str">
        <f>'building data set'!D23</f>
        <v>Sr. Unsec.</v>
      </c>
      <c r="E23">
        <f>'building data set'!E23</f>
        <v>0.85190258447703004</v>
      </c>
      <c r="F23">
        <f>'building data set'!F23</f>
        <v>0.33394424853074578</v>
      </c>
      <c r="G23">
        <f>'building data set'!G23</f>
        <v>0.62609999999999999</v>
      </c>
      <c r="H23">
        <f>'building data set'!H23</f>
        <v>2.3530000000000002</v>
      </c>
    </row>
    <row r="24" spans="1:8" x14ac:dyDescent="0.25">
      <c r="A24">
        <f>'building data set'!A24</f>
        <v>2007</v>
      </c>
      <c r="B24">
        <f>'building data set'!B24</f>
        <v>27</v>
      </c>
      <c r="C24" t="str">
        <f>'building data set'!C24</f>
        <v>Transp</v>
      </c>
      <c r="D24" t="str">
        <f>'building data set'!D24</f>
        <v>Sr. Sub.</v>
      </c>
      <c r="E24">
        <f>'building data set'!E24</f>
        <v>0.19120147072388038</v>
      </c>
      <c r="F24">
        <f>'building data set'!F24</f>
        <v>0.16671028481622882</v>
      </c>
      <c r="G24">
        <f>'building data set'!G24</f>
        <v>0.67149999999999999</v>
      </c>
      <c r="H24">
        <f>'building data set'!H24</f>
        <v>2.3530000000000002</v>
      </c>
    </row>
    <row r="25" spans="1:8" x14ac:dyDescent="0.25">
      <c r="A25">
        <f>'building data set'!A25</f>
        <v>2007</v>
      </c>
      <c r="B25">
        <f>'building data set'!B25</f>
        <v>28</v>
      </c>
      <c r="C25" t="str">
        <f>'building data set'!C25</f>
        <v>Tech</v>
      </c>
      <c r="D25" t="str">
        <f>'building data set'!D25</f>
        <v>Sr. Sub.</v>
      </c>
      <c r="E25">
        <f>'building data set'!E25</f>
        <v>0.17837152154660729</v>
      </c>
      <c r="F25">
        <f>'building data set'!F25</f>
        <v>0.30851428864655656</v>
      </c>
      <c r="G25">
        <f>'building data set'!G25</f>
        <v>0.67149999999999999</v>
      </c>
      <c r="H25">
        <f>'building data set'!H25</f>
        <v>0.74299999999999999</v>
      </c>
    </row>
    <row r="26" spans="1:8" x14ac:dyDescent="0.25">
      <c r="A26">
        <f>'building data set'!A26</f>
        <v>2007</v>
      </c>
      <c r="B26">
        <f>'building data set'!B26</f>
        <v>29</v>
      </c>
      <c r="C26" t="str">
        <f>'building data set'!C26</f>
        <v>Retail</v>
      </c>
      <c r="D26" t="str">
        <f>'building data set'!D26</f>
        <v>Sr. Unsec.</v>
      </c>
      <c r="E26">
        <f>'building data set'!E26</f>
        <v>6.2332698878394432E-2</v>
      </c>
      <c r="F26">
        <f>'building data set'!F26</f>
        <v>0.54301431576168024</v>
      </c>
      <c r="G26">
        <f>'building data set'!G26</f>
        <v>0.62609999999999999</v>
      </c>
      <c r="H26">
        <f>'building data set'!H26</f>
        <v>1.1830000000000001</v>
      </c>
    </row>
    <row r="27" spans="1:8" x14ac:dyDescent="0.25">
      <c r="A27">
        <f>'building data set'!A27</f>
        <v>2007</v>
      </c>
      <c r="B27">
        <f>'building data set'!B27</f>
        <v>30</v>
      </c>
      <c r="C27" t="str">
        <f>'building data set'!C27</f>
        <v>Transp</v>
      </c>
      <c r="D27" t="str">
        <f>'building data set'!D27</f>
        <v>Sr. Sec.</v>
      </c>
      <c r="E27">
        <f>'building data set'!E27</f>
        <v>0.4854537052703547</v>
      </c>
      <c r="F27">
        <f>'building data set'!F27</f>
        <v>0.37586029957274913</v>
      </c>
      <c r="G27">
        <f>'building data set'!G27</f>
        <v>0.45660000000000001</v>
      </c>
      <c r="H27">
        <f>'building data set'!H27</f>
        <v>2.3530000000000002</v>
      </c>
    </row>
    <row r="28" spans="1:8" x14ac:dyDescent="0.25">
      <c r="A28">
        <f>'building data set'!A28</f>
        <v>2007</v>
      </c>
      <c r="B28">
        <f>'building data set'!B28</f>
        <v>48</v>
      </c>
      <c r="C28" t="str">
        <f>'building data set'!C28</f>
        <v>Tech</v>
      </c>
      <c r="D28" t="str">
        <f>'building data set'!D28</f>
        <v>Sr. Unsec.</v>
      </c>
      <c r="E28">
        <f>'building data set'!E28</f>
        <v>0.45818641264438642</v>
      </c>
      <c r="F28">
        <f>'building data set'!F28</f>
        <v>0.49346095687201991</v>
      </c>
      <c r="G28">
        <f>'building data set'!G28</f>
        <v>0.62609999999999999</v>
      </c>
      <c r="H28">
        <f>'building data set'!H28</f>
        <v>0.74299999999999999</v>
      </c>
    </row>
    <row r="29" spans="1:8" x14ac:dyDescent="0.25">
      <c r="A29">
        <f>'building data set'!A29</f>
        <v>2007</v>
      </c>
      <c r="B29">
        <f>'building data set'!B29</f>
        <v>48</v>
      </c>
      <c r="C29" t="str">
        <f>'building data set'!C29</f>
        <v>Tech</v>
      </c>
      <c r="D29" t="str">
        <f>'building data set'!D29</f>
        <v>Sub.</v>
      </c>
      <c r="E29">
        <f>'building data set'!E29</f>
        <v>0.82746503669023519</v>
      </c>
      <c r="F29">
        <f>'building data set'!F29</f>
        <v>0.49346095687201991</v>
      </c>
      <c r="G29">
        <f>'building data set'!G29</f>
        <v>0.68489999999999995</v>
      </c>
      <c r="H29">
        <f>'building data set'!H29</f>
        <v>0.74299999999999999</v>
      </c>
    </row>
    <row r="30" spans="1:8" x14ac:dyDescent="0.25">
      <c r="A30">
        <f>'building data set'!A30</f>
        <v>2007</v>
      </c>
      <c r="B30">
        <f>'building data set'!B30</f>
        <v>49</v>
      </c>
      <c r="C30" t="str">
        <f>'building data set'!C30</f>
        <v>Media</v>
      </c>
      <c r="D30" t="str">
        <f>'building data set'!D30</f>
        <v>Sr. Sub.</v>
      </c>
      <c r="E30">
        <f>'building data set'!E30</f>
        <v>0.48093841355608091</v>
      </c>
      <c r="F30">
        <f>'building data set'!F30</f>
        <v>0.70701833128672908</v>
      </c>
      <c r="G30">
        <f>'building data set'!G30</f>
        <v>0.67149999999999999</v>
      </c>
      <c r="H30">
        <f>'building data set'!H30</f>
        <v>1.415</v>
      </c>
    </row>
    <row r="31" spans="1:8" x14ac:dyDescent="0.25">
      <c r="A31">
        <f>'building data set'!A31</f>
        <v>2008</v>
      </c>
      <c r="B31">
        <f>'building data set'!B31</f>
        <v>50</v>
      </c>
      <c r="C31" t="str">
        <f>'building data set'!C31</f>
        <v>Retail</v>
      </c>
      <c r="D31" t="str">
        <f>'building data set'!D31</f>
        <v>Sr. Sub.</v>
      </c>
      <c r="E31">
        <f>'building data set'!E31</f>
        <v>0.47741094848513599</v>
      </c>
      <c r="F31">
        <f>'building data set'!F31</f>
        <v>0.8323434498094584</v>
      </c>
      <c r="G31">
        <f>'building data set'!G31</f>
        <v>0.68120000000000003</v>
      </c>
      <c r="H31">
        <f>'building data set'!H31</f>
        <v>1.802</v>
      </c>
    </row>
    <row r="32" spans="1:8" x14ac:dyDescent="0.25">
      <c r="A32">
        <f>'building data set'!A32</f>
        <v>2008</v>
      </c>
      <c r="B32">
        <f>'building data set'!B32</f>
        <v>51</v>
      </c>
      <c r="C32" t="str">
        <f>'building data set'!C32</f>
        <v>Media</v>
      </c>
      <c r="D32" t="str">
        <f>'building data set'!D32</f>
        <v>Sr. Unsec.</v>
      </c>
      <c r="E32">
        <f>'building data set'!E32</f>
        <v>0.77144265556335456</v>
      </c>
      <c r="F32">
        <f>'building data set'!F32</f>
        <v>0.23778569529931196</v>
      </c>
      <c r="G32">
        <f>'building data set'!G32</f>
        <v>0.63600000000000001</v>
      </c>
      <c r="H32">
        <f>'building data set'!H32</f>
        <v>0.92</v>
      </c>
    </row>
    <row r="33" spans="1:8" x14ac:dyDescent="0.25">
      <c r="A33">
        <f>'building data set'!A33</f>
        <v>2008</v>
      </c>
      <c r="B33">
        <f>'building data set'!B33</f>
        <v>52</v>
      </c>
      <c r="C33" t="str">
        <f>'building data set'!C33</f>
        <v>Transp</v>
      </c>
      <c r="D33" t="str">
        <f>'building data set'!D33</f>
        <v>Sr. Sec.</v>
      </c>
      <c r="E33">
        <f>'building data set'!E33</f>
        <v>8.1576930809021064E-2</v>
      </c>
      <c r="F33">
        <f>'building data set'!F33</f>
        <v>0.29647870966003148</v>
      </c>
      <c r="G33">
        <f>'building data set'!G33</f>
        <v>0.48199999999999998</v>
      </c>
      <c r="H33">
        <f>'building data set'!H33</f>
        <v>0</v>
      </c>
    </row>
    <row r="34" spans="1:8" x14ac:dyDescent="0.25">
      <c r="A34">
        <f>'building data set'!A34</f>
        <v>2008</v>
      </c>
      <c r="B34">
        <f>'building data set'!B34</f>
        <v>52</v>
      </c>
      <c r="C34" t="str">
        <f>'building data set'!C34</f>
        <v>Retail</v>
      </c>
      <c r="D34" t="str">
        <f>'building data set'!D34</f>
        <v>Sr. Unsec.</v>
      </c>
      <c r="E34">
        <f>'building data set'!E34</f>
        <v>0.56085931088924412</v>
      </c>
      <c r="F34">
        <f>'building data set'!F34</f>
        <v>0.29647870966003148</v>
      </c>
      <c r="G34">
        <f>'building data set'!G34</f>
        <v>0.63600000000000001</v>
      </c>
      <c r="H34">
        <f>'building data set'!H34</f>
        <v>1.802</v>
      </c>
    </row>
    <row r="35" spans="1:8" x14ac:dyDescent="0.25">
      <c r="A35">
        <f>'building data set'!A35</f>
        <v>2008</v>
      </c>
      <c r="B35">
        <f>'building data set'!B35</f>
        <v>52</v>
      </c>
      <c r="C35" t="str">
        <f>'building data set'!C35</f>
        <v>Retail</v>
      </c>
      <c r="D35" t="str">
        <f>'building data set'!D35</f>
        <v>Sr. Sub.</v>
      </c>
      <c r="E35">
        <f>'building data set'!E35</f>
        <v>0.88407824818104508</v>
      </c>
      <c r="F35">
        <f>'building data set'!F35</f>
        <v>0.29647870966003148</v>
      </c>
      <c r="G35">
        <f>'building data set'!G35</f>
        <v>0.68120000000000003</v>
      </c>
      <c r="H35">
        <f>'building data set'!H35</f>
        <v>1.802</v>
      </c>
    </row>
    <row r="36" spans="1:8" x14ac:dyDescent="0.25">
      <c r="A36">
        <f>'building data set'!A36</f>
        <v>2008</v>
      </c>
      <c r="B36">
        <f>'building data set'!B36</f>
        <v>53</v>
      </c>
      <c r="C36" t="str">
        <f>'building data set'!C36</f>
        <v>Tech</v>
      </c>
      <c r="D36" t="str">
        <f>'building data set'!D36</f>
        <v>Sr. Sec.</v>
      </c>
      <c r="E36">
        <f>'building data set'!E36</f>
        <v>0.45218848057091243</v>
      </c>
      <c r="F36">
        <f>'building data set'!F36</f>
        <v>0.63932472767076454</v>
      </c>
      <c r="G36">
        <f>'building data set'!G36</f>
        <v>0.48199999999999998</v>
      </c>
      <c r="H36">
        <f>'building data set'!H36</f>
        <v>0.48599999999999999</v>
      </c>
    </row>
    <row r="37" spans="1:8" x14ac:dyDescent="0.25">
      <c r="A37">
        <f>'building data set'!A37</f>
        <v>2008</v>
      </c>
      <c r="B37">
        <f>'building data set'!B37</f>
        <v>53</v>
      </c>
      <c r="C37" t="str">
        <f>'building data set'!C37</f>
        <v>Tech</v>
      </c>
      <c r="D37" t="str">
        <f>'building data set'!D37</f>
        <v>Sr. Unsec.</v>
      </c>
      <c r="E37">
        <f>'building data set'!E37</f>
        <v>0.88976448770761496</v>
      </c>
      <c r="F37">
        <f>'building data set'!F37</f>
        <v>0.63932472767076454</v>
      </c>
      <c r="G37">
        <f>'building data set'!G37</f>
        <v>0.63600000000000001</v>
      </c>
      <c r="H37">
        <f>'building data set'!H37</f>
        <v>0.48599999999999999</v>
      </c>
    </row>
    <row r="38" spans="1:8" x14ac:dyDescent="0.25">
      <c r="A38">
        <f>'building data set'!A38</f>
        <v>2008</v>
      </c>
      <c r="B38">
        <f>'building data set'!B38</f>
        <v>54</v>
      </c>
      <c r="C38" t="str">
        <f>'building data set'!C38</f>
        <v>Media</v>
      </c>
      <c r="D38" t="str">
        <f>'building data set'!D38</f>
        <v>Sr. Sec.</v>
      </c>
      <c r="E38">
        <f>'building data set'!E38</f>
        <v>0.85969781782925137</v>
      </c>
      <c r="F38">
        <f>'building data set'!F38</f>
        <v>0.41714147180195826</v>
      </c>
      <c r="G38">
        <f>'building data set'!G38</f>
        <v>0.48199999999999998</v>
      </c>
      <c r="H38">
        <f>'building data set'!H38</f>
        <v>0.92</v>
      </c>
    </row>
    <row r="39" spans="1:8" x14ac:dyDescent="0.25">
      <c r="A39">
        <f>'building data set'!A39</f>
        <v>2008</v>
      </c>
      <c r="B39">
        <f>'building data set'!B39</f>
        <v>56</v>
      </c>
      <c r="C39" t="str">
        <f>'building data set'!C39</f>
        <v>Cons G</v>
      </c>
      <c r="D39" t="str">
        <f>'building data set'!D39</f>
        <v>Sr. Sub.</v>
      </c>
      <c r="E39">
        <f>'building data set'!E39</f>
        <v>0.46480322089195247</v>
      </c>
      <c r="F39">
        <f>'building data set'!F39</f>
        <v>0.38996303099474688</v>
      </c>
      <c r="G39">
        <f>'building data set'!G39</f>
        <v>0.68120000000000003</v>
      </c>
      <c r="H39">
        <f>'building data set'!H39</f>
        <v>0.65100000000000002</v>
      </c>
    </row>
    <row r="40" spans="1:8" x14ac:dyDescent="0.25">
      <c r="A40">
        <f>'building data set'!A40</f>
        <v>2008</v>
      </c>
      <c r="B40">
        <f>'building data set'!B40</f>
        <v>57</v>
      </c>
      <c r="C40" t="str">
        <f>'building data set'!C40</f>
        <v>Cons G</v>
      </c>
      <c r="D40" t="str">
        <f>'building data set'!D40</f>
        <v>Sr. Unsec.</v>
      </c>
      <c r="E40">
        <f>'building data set'!E40</f>
        <v>0.86678265056610104</v>
      </c>
      <c r="F40">
        <f>'building data set'!F40</f>
        <v>0.40285905354899543</v>
      </c>
      <c r="G40">
        <f>'building data set'!G40</f>
        <v>0.63600000000000001</v>
      </c>
      <c r="H40">
        <f>'building data set'!H40</f>
        <v>0.65100000000000002</v>
      </c>
    </row>
    <row r="41" spans="1:8" x14ac:dyDescent="0.25">
      <c r="A41">
        <f>'building data set'!A41</f>
        <v>2008</v>
      </c>
      <c r="B41">
        <f>'building data set'!B41</f>
        <v>58</v>
      </c>
      <c r="C41" t="str">
        <f>'building data set'!C41</f>
        <v>Retail</v>
      </c>
      <c r="D41" t="str">
        <f>'building data set'!D41</f>
        <v>Sr. Sec.</v>
      </c>
      <c r="E41">
        <f>'building data set'!E41</f>
        <v>0.97088939411735531</v>
      </c>
      <c r="F41">
        <f>'building data set'!F41</f>
        <v>0.70797216126024221</v>
      </c>
      <c r="G41">
        <f>'building data set'!G41</f>
        <v>0.48199999999999998</v>
      </c>
      <c r="H41">
        <f>'building data set'!H41</f>
        <v>1.802</v>
      </c>
    </row>
    <row r="42" spans="1:8" x14ac:dyDescent="0.25">
      <c r="A42">
        <f>'building data set'!A42</f>
        <v>2008</v>
      </c>
      <c r="B42">
        <f>'building data set'!B42</f>
        <v>58</v>
      </c>
      <c r="C42" t="str">
        <f>'building data set'!C42</f>
        <v>Retail</v>
      </c>
      <c r="D42" t="str">
        <f>'building data set'!D42</f>
        <v>Sub.</v>
      </c>
      <c r="E42">
        <f>'building data set'!E42</f>
        <v>0.97538959100520606</v>
      </c>
      <c r="F42">
        <f>'building data set'!F42</f>
        <v>0.70797216126024221</v>
      </c>
      <c r="G42">
        <f>'building data set'!G42</f>
        <v>0.71120000000000005</v>
      </c>
      <c r="H42">
        <f>'building data set'!H42</f>
        <v>1.802</v>
      </c>
    </row>
    <row r="43" spans="1:8" x14ac:dyDescent="0.25">
      <c r="A43">
        <f>'building data set'!A43</f>
        <v>2008</v>
      </c>
      <c r="B43">
        <f>'building data set'!B43</f>
        <v>59</v>
      </c>
      <c r="C43" t="str">
        <f>'building data set'!C43</f>
        <v>Tech</v>
      </c>
      <c r="D43" t="str">
        <f>'building data set'!D43</f>
        <v>Sr. Unsec.</v>
      </c>
      <c r="E43">
        <f>'building data set'!E43</f>
        <v>0.26735153014957913</v>
      </c>
      <c r="F43">
        <f>'building data set'!F43</f>
        <v>0.71099999999999997</v>
      </c>
      <c r="G43">
        <f>'building data set'!G43</f>
        <v>0.63600000000000001</v>
      </c>
      <c r="H43">
        <f>'building data set'!H43</f>
        <v>0.48599999999999999</v>
      </c>
    </row>
    <row r="44" spans="1:8" x14ac:dyDescent="0.25">
      <c r="A44">
        <f>'building data set'!A44</f>
        <v>2008</v>
      </c>
      <c r="B44">
        <f>'building data set'!B44</f>
        <v>60</v>
      </c>
      <c r="C44" t="str">
        <f>'building data set'!C44</f>
        <v>Transp</v>
      </c>
      <c r="D44" t="str">
        <f>'building data set'!D44</f>
        <v>Sr. Unsec.</v>
      </c>
      <c r="E44">
        <f>'building data set'!E44</f>
        <v>0.49505987014174457</v>
      </c>
      <c r="F44">
        <f>'building data set'!F44</f>
        <v>0.4</v>
      </c>
      <c r="G44">
        <f>'building data set'!G44</f>
        <v>0.63600000000000001</v>
      </c>
      <c r="H44">
        <f>'building data set'!H44</f>
        <v>0</v>
      </c>
    </row>
    <row r="45" spans="1:8" x14ac:dyDescent="0.25">
      <c r="A45">
        <f>'building data set'!A45</f>
        <v>2008</v>
      </c>
      <c r="B45">
        <f>'building data set'!B45</f>
        <v>60</v>
      </c>
      <c r="C45" t="str">
        <f>'building data set'!C45</f>
        <v>Transp</v>
      </c>
      <c r="D45" t="str">
        <f>'building data set'!D45</f>
        <v>Sr. Sub.</v>
      </c>
      <c r="E45">
        <f>'building data set'!E45</f>
        <v>0.9190320536255836</v>
      </c>
      <c r="F45">
        <f>'building data set'!F45</f>
        <v>0.4</v>
      </c>
      <c r="G45">
        <f>'building data set'!G45</f>
        <v>0.68120000000000003</v>
      </c>
      <c r="H45">
        <f>'building data set'!H45</f>
        <v>0</v>
      </c>
    </row>
    <row r="46" spans="1:8" x14ac:dyDescent="0.25">
      <c r="A46">
        <f>'building data set'!A46</f>
        <v>2008</v>
      </c>
      <c r="B46">
        <f>'building data set'!B46</f>
        <v>61</v>
      </c>
      <c r="C46" t="str">
        <f>'building data set'!C46</f>
        <v>Media</v>
      </c>
      <c r="D46" t="str">
        <f>'building data set'!D46</f>
        <v>Sr. Unsec.</v>
      </c>
      <c r="E46">
        <f>'building data set'!E46</f>
        <v>0.68992629382884507</v>
      </c>
      <c r="F46">
        <f>'building data set'!F46</f>
        <v>0.38</v>
      </c>
      <c r="G46">
        <f>'building data set'!G46</f>
        <v>0.63600000000000001</v>
      </c>
      <c r="H46">
        <f>'building data set'!H46</f>
        <v>0.92</v>
      </c>
    </row>
    <row r="47" spans="1:8" x14ac:dyDescent="0.25">
      <c r="A47">
        <f>'building data set'!A47</f>
        <v>2008</v>
      </c>
      <c r="B47">
        <f>'building data set'!B47</f>
        <v>62</v>
      </c>
      <c r="C47" t="str">
        <f>'building data set'!C47</f>
        <v>Media</v>
      </c>
      <c r="D47" t="str">
        <f>'building data set'!D47</f>
        <v>Sr. Sec.</v>
      </c>
      <c r="E47">
        <f>'building data set'!E47</f>
        <v>9.1055164074897776E-2</v>
      </c>
      <c r="F47">
        <f>'building data set'!F47</f>
        <v>0.55725300173160475</v>
      </c>
      <c r="G47">
        <f>'building data set'!G47</f>
        <v>0.48199999999999998</v>
      </c>
      <c r="H47">
        <f>'building data set'!H47</f>
        <v>0.92</v>
      </c>
    </row>
    <row r="48" spans="1:8" x14ac:dyDescent="0.25">
      <c r="A48">
        <f>'building data set'!A48</f>
        <v>2008</v>
      </c>
      <c r="B48">
        <f>'building data set'!B48</f>
        <v>62</v>
      </c>
      <c r="C48" t="str">
        <f>'building data set'!C48</f>
        <v>Media</v>
      </c>
      <c r="D48" t="str">
        <f>'building data set'!D48</f>
        <v>Sr. Sub.</v>
      </c>
      <c r="E48">
        <f>'building data set'!E48</f>
        <v>0.38780128974914552</v>
      </c>
      <c r="F48">
        <f>'building data set'!F48</f>
        <v>0.55725300173160475</v>
      </c>
      <c r="G48">
        <f>'building data set'!G48</f>
        <v>0.68120000000000003</v>
      </c>
      <c r="H48">
        <f>'building data set'!H48</f>
        <v>0.92</v>
      </c>
    </row>
    <row r="49" spans="1:8" x14ac:dyDescent="0.25">
      <c r="A49">
        <f>'building data set'!A49</f>
        <v>2008</v>
      </c>
      <c r="B49">
        <f>'building data set'!B49</f>
        <v>63</v>
      </c>
      <c r="C49" t="str">
        <f>'building data set'!C49</f>
        <v>Tech</v>
      </c>
      <c r="D49" t="str">
        <f>'building data set'!D49</f>
        <v>Sr. Unsec.</v>
      </c>
      <c r="E49">
        <f>'building data set'!E49</f>
        <v>0.37058930202400697</v>
      </c>
      <c r="F49">
        <f>'building data set'!F49</f>
        <v>0.33998616590112019</v>
      </c>
      <c r="G49">
        <f>'building data set'!G49</f>
        <v>0.63600000000000001</v>
      </c>
      <c r="H49">
        <f>'building data set'!H49</f>
        <v>0.48599999999999999</v>
      </c>
    </row>
    <row r="50" spans="1:8" x14ac:dyDescent="0.25">
      <c r="A50">
        <f>'building data set'!A50</f>
        <v>2008</v>
      </c>
      <c r="B50">
        <f>'building data set'!B50</f>
        <v>64</v>
      </c>
      <c r="C50" t="str">
        <f>'building data set'!C50</f>
        <v>Transp</v>
      </c>
      <c r="D50" t="str">
        <f>'building data set'!D50</f>
        <v>Sr. Unsec.</v>
      </c>
      <c r="E50">
        <f>'building data set'!E50</f>
        <v>0.21937463400363932</v>
      </c>
      <c r="F50">
        <f>'building data set'!F50</f>
        <v>0.10556480614735464</v>
      </c>
      <c r="G50">
        <f>'building data set'!G50</f>
        <v>0.63600000000000001</v>
      </c>
      <c r="H50">
        <f>'building data set'!H50</f>
        <v>0</v>
      </c>
    </row>
    <row r="51" spans="1:8" x14ac:dyDescent="0.25">
      <c r="A51">
        <f>'building data set'!A51</f>
        <v>2008</v>
      </c>
      <c r="B51">
        <f>'building data set'!B51</f>
        <v>65</v>
      </c>
      <c r="C51" t="str">
        <f>'building data set'!C51</f>
        <v>Tech</v>
      </c>
      <c r="D51" t="str">
        <f>'building data set'!D51</f>
        <v>Sr. Unsec.</v>
      </c>
      <c r="E51">
        <f>'building data set'!E51</f>
        <v>0.81427015170753003</v>
      </c>
      <c r="F51">
        <f>'building data set'!F51</f>
        <v>0.58822069356306095</v>
      </c>
      <c r="G51">
        <f>'building data set'!G51</f>
        <v>0.63600000000000001</v>
      </c>
      <c r="H51">
        <f>'building data set'!H51</f>
        <v>0.48599999999999999</v>
      </c>
    </row>
    <row r="52" spans="1:8" x14ac:dyDescent="0.25">
      <c r="A52">
        <f>'building data set'!A52</f>
        <v>2008</v>
      </c>
      <c r="B52">
        <f>'building data set'!B52</f>
        <v>67</v>
      </c>
      <c r="C52" t="str">
        <f>'building data set'!C52</f>
        <v>Media</v>
      </c>
      <c r="D52" t="str">
        <f>'building data set'!D52</f>
        <v>Sr. Sec.</v>
      </c>
      <c r="E52">
        <f>'building data set'!E52</f>
        <v>0.5884418302655221</v>
      </c>
      <c r="F52">
        <f>'building data set'!F52</f>
        <v>0.21274946494309407</v>
      </c>
      <c r="G52">
        <f>'building data set'!G52</f>
        <v>0.48199999999999998</v>
      </c>
      <c r="H52">
        <f>'building data set'!H52</f>
        <v>0.92</v>
      </c>
    </row>
    <row r="53" spans="1:8" x14ac:dyDescent="0.25">
      <c r="A53">
        <f>'building data set'!A53</f>
        <v>2008</v>
      </c>
      <c r="B53">
        <f>'building data set'!B53</f>
        <v>69</v>
      </c>
      <c r="C53" t="str">
        <f>'building data set'!C53</f>
        <v>Retail</v>
      </c>
      <c r="D53" t="str">
        <f>'building data set'!D53</f>
        <v>Sr. Unsec.</v>
      </c>
      <c r="E53">
        <f>'building data set'!E53</f>
        <v>0.51315197463661422</v>
      </c>
      <c r="F53">
        <f>'building data set'!F53</f>
        <v>0.26674419351554757</v>
      </c>
      <c r="G53">
        <f>'building data set'!G53</f>
        <v>0.63600000000000001</v>
      </c>
      <c r="H53">
        <f>'building data set'!H53</f>
        <v>1.802</v>
      </c>
    </row>
    <row r="54" spans="1:8" x14ac:dyDescent="0.25">
      <c r="A54">
        <f>'building data set'!A54</f>
        <v>2008</v>
      </c>
      <c r="B54">
        <f>'building data set'!B54</f>
        <v>70</v>
      </c>
      <c r="C54" t="str">
        <f>'building data set'!C54</f>
        <v>Retail</v>
      </c>
      <c r="D54" t="str">
        <f>'building data set'!D54</f>
        <v>Sr. Sub.</v>
      </c>
      <c r="E54">
        <f>'building data set'!E54</f>
        <v>0.90196679730415341</v>
      </c>
      <c r="F54">
        <f>'building data set'!F54</f>
        <v>0.61422901981538724</v>
      </c>
      <c r="G54">
        <f>'building data set'!G54</f>
        <v>0.68120000000000003</v>
      </c>
      <c r="H54">
        <f>'building data set'!H54</f>
        <v>1.802</v>
      </c>
    </row>
    <row r="55" spans="1:8" x14ac:dyDescent="0.25">
      <c r="A55">
        <f>'building data set'!A55</f>
        <v>2008</v>
      </c>
      <c r="B55">
        <f>'building data set'!B55</f>
        <v>71</v>
      </c>
      <c r="C55" t="str">
        <f>'building data set'!C55</f>
        <v>Energy</v>
      </c>
      <c r="D55" t="str">
        <f>'building data set'!D55</f>
        <v>Sr. Unsec.</v>
      </c>
      <c r="E55">
        <f>'building data set'!E55</f>
        <v>0.71386329823732375</v>
      </c>
      <c r="F55">
        <f>'building data set'!F55</f>
        <v>0.21185460174659365</v>
      </c>
      <c r="G55">
        <f>'building data set'!G55</f>
        <v>0.63600000000000001</v>
      </c>
      <c r="H55">
        <f>'building data set'!H55</f>
        <v>0</v>
      </c>
    </row>
    <row r="56" spans="1:8" x14ac:dyDescent="0.25">
      <c r="A56">
        <f>'building data set'!A56</f>
        <v>2008</v>
      </c>
      <c r="B56">
        <f>'building data set'!B56</f>
        <v>72</v>
      </c>
      <c r="C56" t="str">
        <f>'building data set'!C56</f>
        <v>Tech</v>
      </c>
      <c r="D56" t="str">
        <f>'building data set'!D56</f>
        <v>Sr. Unsec.</v>
      </c>
      <c r="E56">
        <f>'building data set'!E56</f>
        <v>0.34513852508664133</v>
      </c>
      <c r="F56">
        <f>'building data set'!F56</f>
        <v>0.2918426605624857</v>
      </c>
      <c r="G56">
        <f>'building data set'!G56</f>
        <v>0.63600000000000001</v>
      </c>
      <c r="H56">
        <f>'building data set'!H56</f>
        <v>0.48599999999999999</v>
      </c>
    </row>
    <row r="57" spans="1:8" x14ac:dyDescent="0.25">
      <c r="A57">
        <f>'building data set'!A57</f>
        <v>2008</v>
      </c>
      <c r="B57">
        <f>'building data set'!B57</f>
        <v>74</v>
      </c>
      <c r="C57" t="str">
        <f>'building data set'!C57</f>
        <v>Media</v>
      </c>
      <c r="D57" t="str">
        <f>'building data set'!D57</f>
        <v>Sr. Unsec.</v>
      </c>
      <c r="E57">
        <f>'building data set'!E57</f>
        <v>0.51023453762352466</v>
      </c>
      <c r="F57">
        <f>'building data set'!F57</f>
        <v>0.53678691651575272</v>
      </c>
      <c r="G57">
        <f>'building data set'!G57</f>
        <v>0.63600000000000001</v>
      </c>
      <c r="H57">
        <f>'building data set'!H57</f>
        <v>0.92</v>
      </c>
    </row>
    <row r="58" spans="1:8" x14ac:dyDescent="0.25">
      <c r="A58">
        <f>'building data set'!A58</f>
        <v>2008</v>
      </c>
      <c r="B58">
        <f>'building data set'!B58</f>
        <v>76</v>
      </c>
      <c r="C58" t="str">
        <f>'building data set'!C58</f>
        <v>Retail</v>
      </c>
      <c r="D58" t="str">
        <f>'building data set'!D58</f>
        <v>Sr. Unsec.</v>
      </c>
      <c r="E58">
        <f>'building data set'!E58</f>
        <v>0.76185368344187743</v>
      </c>
      <c r="F58">
        <f>'building data set'!F58</f>
        <v>0.32164929729042352</v>
      </c>
      <c r="G58">
        <f>'building data set'!G58</f>
        <v>0.63600000000000001</v>
      </c>
      <c r="H58">
        <f>'building data set'!H58</f>
        <v>1.802</v>
      </c>
    </row>
    <row r="59" spans="1:8" x14ac:dyDescent="0.25">
      <c r="A59">
        <f>'building data set'!A59</f>
        <v>2008</v>
      </c>
      <c r="B59">
        <f>'building data set'!B59</f>
        <v>76</v>
      </c>
      <c r="C59" t="str">
        <f>'building data set'!C59</f>
        <v>Retail</v>
      </c>
      <c r="D59" t="str">
        <f>'building data set'!D59</f>
        <v>Sr. Sub.</v>
      </c>
      <c r="E59">
        <f>'building data set'!E59</f>
        <v>0.9477402786612511</v>
      </c>
      <c r="F59">
        <f>'building data set'!F59</f>
        <v>0.32164929729042352</v>
      </c>
      <c r="G59">
        <f>'building data set'!G59</f>
        <v>0.68120000000000003</v>
      </c>
      <c r="H59">
        <f>'building data set'!H59</f>
        <v>1.802</v>
      </c>
    </row>
    <row r="60" spans="1:8" x14ac:dyDescent="0.25">
      <c r="A60">
        <f>'building data set'!A60</f>
        <v>2008</v>
      </c>
      <c r="B60">
        <f>'building data set'!B60</f>
        <v>77</v>
      </c>
      <c r="C60" t="str">
        <f>'building data set'!C60</f>
        <v>Tech</v>
      </c>
      <c r="D60" t="str">
        <f>'building data set'!D60</f>
        <v>Sr. Sub.</v>
      </c>
      <c r="E60">
        <f>'building data set'!E60</f>
        <v>0.92564317133724694</v>
      </c>
      <c r="F60">
        <f>'building data set'!F60</f>
        <v>0.2797087420340863</v>
      </c>
      <c r="G60">
        <f>'building data set'!G60</f>
        <v>0.68120000000000003</v>
      </c>
      <c r="H60">
        <f>'building data set'!H60</f>
        <v>0.48599999999999999</v>
      </c>
    </row>
    <row r="61" spans="1:8" x14ac:dyDescent="0.25">
      <c r="A61">
        <f>'building data set'!A61</f>
        <v>2008</v>
      </c>
      <c r="B61">
        <f>'building data set'!B61</f>
        <v>78</v>
      </c>
      <c r="C61" t="str">
        <f>'building data set'!C61</f>
        <v>Energy</v>
      </c>
      <c r="D61" t="str">
        <f>'building data set'!D61</f>
        <v>Sr. Sec.</v>
      </c>
      <c r="E61">
        <f>'building data set'!E61</f>
        <v>3.744355867767335E-2</v>
      </c>
      <c r="F61">
        <f>'building data set'!F61</f>
        <v>0.24778868787631703</v>
      </c>
      <c r="G61">
        <f>'building data set'!G61</f>
        <v>0.48199999999999998</v>
      </c>
      <c r="H61">
        <f>'building data set'!H61</f>
        <v>0</v>
      </c>
    </row>
    <row r="62" spans="1:8" x14ac:dyDescent="0.25">
      <c r="A62">
        <f>'building data set'!A62</f>
        <v>2008</v>
      </c>
      <c r="B62">
        <f>'building data set'!B62</f>
        <v>79</v>
      </c>
      <c r="C62" t="str">
        <f>'building data set'!C62</f>
        <v>Tech</v>
      </c>
      <c r="D62" t="str">
        <f>'building data set'!D62</f>
        <v>Sr. Unsec.</v>
      </c>
      <c r="E62">
        <f>'building data set'!E62</f>
        <v>0.88050540745258332</v>
      </c>
      <c r="F62">
        <f>'building data set'!F62</f>
        <v>0.33122836011382145</v>
      </c>
      <c r="G62">
        <f>'building data set'!G62</f>
        <v>0.63600000000000001</v>
      </c>
      <c r="H62">
        <f>'building data set'!H62</f>
        <v>0.48599999999999999</v>
      </c>
    </row>
    <row r="63" spans="1:8" x14ac:dyDescent="0.25">
      <c r="A63">
        <f>'building data set'!A63</f>
        <v>2008</v>
      </c>
      <c r="B63">
        <f>'building data set'!B63</f>
        <v>80</v>
      </c>
      <c r="C63" t="str">
        <f>'building data set'!C63</f>
        <v>Transp</v>
      </c>
      <c r="D63" t="str">
        <f>'building data set'!D63</f>
        <v>Sr. Sec.</v>
      </c>
      <c r="E63">
        <f>'building data set'!E63</f>
        <v>0.44658885968923567</v>
      </c>
      <c r="F63">
        <f>'building data set'!F63</f>
        <v>0.56338273141383655</v>
      </c>
      <c r="G63">
        <f>'building data set'!G63</f>
        <v>0.48199999999999998</v>
      </c>
      <c r="H63">
        <f>'building data set'!H63</f>
        <v>0</v>
      </c>
    </row>
    <row r="64" spans="1:8" x14ac:dyDescent="0.25">
      <c r="A64">
        <f>'building data set'!A64</f>
        <v>2008</v>
      </c>
      <c r="B64">
        <f>'building data set'!B64</f>
        <v>81</v>
      </c>
      <c r="C64" t="str">
        <f>'building data set'!C64</f>
        <v>Retail</v>
      </c>
      <c r="D64" t="str">
        <f>'building data set'!D64</f>
        <v>Sr. Unsec.</v>
      </c>
      <c r="E64">
        <f>'building data set'!E64</f>
        <v>0.74106035563117267</v>
      </c>
      <c r="F64">
        <f>'building data set'!F64</f>
        <v>0.92494487850163598</v>
      </c>
      <c r="G64">
        <f>'building data set'!G64</f>
        <v>0.63600000000000001</v>
      </c>
      <c r="H64">
        <f>'building data set'!H64</f>
        <v>1.802</v>
      </c>
    </row>
    <row r="65" spans="1:8" x14ac:dyDescent="0.25">
      <c r="A65">
        <f>'building data set'!A65</f>
        <v>2008</v>
      </c>
      <c r="B65">
        <f>'building data set'!B65</f>
        <v>81</v>
      </c>
      <c r="C65" t="str">
        <f>'building data set'!C65</f>
        <v>Retail</v>
      </c>
      <c r="D65" t="str">
        <f>'building data set'!D65</f>
        <v>Sr. Sub.</v>
      </c>
      <c r="E65">
        <f>'building data set'!E65</f>
        <v>0.89810229246509077</v>
      </c>
      <c r="F65">
        <f>'building data set'!F65</f>
        <v>0.92494487850163598</v>
      </c>
      <c r="G65">
        <f>'building data set'!G65</f>
        <v>0.68120000000000003</v>
      </c>
      <c r="H65">
        <f>'building data set'!H65</f>
        <v>1.802</v>
      </c>
    </row>
    <row r="66" spans="1:8" x14ac:dyDescent="0.25">
      <c r="A66">
        <f>'building data set'!A66</f>
        <v>2008</v>
      </c>
      <c r="B66">
        <f>'building data set'!B66</f>
        <v>82</v>
      </c>
      <c r="C66" t="str">
        <f>'building data set'!C66</f>
        <v>Tech</v>
      </c>
      <c r="D66" t="str">
        <f>'building data set'!D66</f>
        <v>Sr. Sub.</v>
      </c>
      <c r="E66">
        <f>'building data set'!E66</f>
        <v>0.93325690681934359</v>
      </c>
      <c r="F66">
        <f>'building data set'!F66</f>
        <v>0.81772805058931131</v>
      </c>
      <c r="G66">
        <f>'building data set'!G66</f>
        <v>0.68120000000000003</v>
      </c>
      <c r="H66">
        <f>'building data set'!H66</f>
        <v>0.48599999999999999</v>
      </c>
    </row>
    <row r="67" spans="1:8" x14ac:dyDescent="0.25">
      <c r="A67">
        <f>'building data set'!A67</f>
        <v>2008</v>
      </c>
      <c r="B67">
        <f>'building data set'!B67</f>
        <v>83</v>
      </c>
      <c r="C67" t="str">
        <f>'building data set'!C67</f>
        <v>Transp</v>
      </c>
      <c r="D67" t="str">
        <f>'building data set'!D67</f>
        <v>Sr. Sec.</v>
      </c>
      <c r="E67">
        <f>'building data set'!E67</f>
        <v>0.75077997510433203</v>
      </c>
      <c r="F67">
        <f>'building data set'!F67</f>
        <v>0.54429782382962077</v>
      </c>
      <c r="G67">
        <f>'building data set'!G67</f>
        <v>0.48199999999999998</v>
      </c>
      <c r="H67">
        <f>'building data set'!H67</f>
        <v>0</v>
      </c>
    </row>
    <row r="68" spans="1:8" x14ac:dyDescent="0.25">
      <c r="A68">
        <f>'building data set'!A68</f>
        <v>2008</v>
      </c>
      <c r="B68">
        <f>'building data set'!B68</f>
        <v>83</v>
      </c>
      <c r="C68" t="str">
        <f>'building data set'!C68</f>
        <v>Transp</v>
      </c>
      <c r="D68" t="str">
        <f>'building data set'!D68</f>
        <v>Sr. Unsec.</v>
      </c>
      <c r="E68">
        <f>'building data set'!E68</f>
        <v>0.96189763247966764</v>
      </c>
      <c r="F68">
        <f>'building data set'!F68</f>
        <v>0.54429782382962077</v>
      </c>
      <c r="G68">
        <f>'building data set'!G68</f>
        <v>0.63600000000000001</v>
      </c>
      <c r="H68">
        <f>'building data set'!H68</f>
        <v>0</v>
      </c>
    </row>
    <row r="69" spans="1:8" x14ac:dyDescent="0.25">
      <c r="A69">
        <f>'building data set'!A69</f>
        <v>2008</v>
      </c>
      <c r="B69">
        <f>'building data set'!B69</f>
        <v>84</v>
      </c>
      <c r="C69" t="str">
        <f>'building data set'!C69</f>
        <v>Media</v>
      </c>
      <c r="D69" t="str">
        <f>'building data set'!D69</f>
        <v>Sr. Sub.</v>
      </c>
      <c r="E69">
        <f>'building data set'!E69</f>
        <v>0.98439273302692176</v>
      </c>
      <c r="F69">
        <f>'building data set'!F69</f>
        <v>0.694189569064391</v>
      </c>
      <c r="G69">
        <f>'building data set'!G69</f>
        <v>0.68120000000000003</v>
      </c>
      <c r="H69">
        <f>'building data set'!H69</f>
        <v>0.92</v>
      </c>
    </row>
    <row r="70" spans="1:8" x14ac:dyDescent="0.25">
      <c r="A70">
        <f>'building data set'!A70</f>
        <v>2008</v>
      </c>
      <c r="B70">
        <f>'building data set'!B70</f>
        <v>85</v>
      </c>
      <c r="C70" t="str">
        <f>'building data set'!C70</f>
        <v>Media</v>
      </c>
      <c r="D70" t="str">
        <f>'building data set'!D70</f>
        <v>Sr. Unsec.</v>
      </c>
      <c r="E70">
        <f>'building data set'!E70</f>
        <v>0.7403414081335068</v>
      </c>
      <c r="F70">
        <f>'building data set'!F70</f>
        <v>0.40868145153032109</v>
      </c>
      <c r="G70">
        <f>'building data set'!G70</f>
        <v>0.63600000000000001</v>
      </c>
      <c r="H70">
        <f>'building data set'!H70</f>
        <v>0.92</v>
      </c>
    </row>
    <row r="71" spans="1:8" x14ac:dyDescent="0.25">
      <c r="A71">
        <f>'building data set'!A71</f>
        <v>2008</v>
      </c>
      <c r="B71">
        <f>'building data set'!B71</f>
        <v>86</v>
      </c>
      <c r="C71" t="str">
        <f>'building data set'!C71</f>
        <v>Cons G</v>
      </c>
      <c r="D71" t="str">
        <f>'building data set'!D71</f>
        <v>Sr. Sec.</v>
      </c>
      <c r="E71">
        <f>'building data set'!E71</f>
        <v>0.5812522217988968</v>
      </c>
      <c r="F71">
        <f>'building data set'!F71</f>
        <v>0.56725366780919362</v>
      </c>
      <c r="G71">
        <f>'building data set'!G71</f>
        <v>0.48199999999999998</v>
      </c>
      <c r="H71">
        <f>'building data set'!H71</f>
        <v>0.65100000000000002</v>
      </c>
    </row>
    <row r="72" spans="1:8" x14ac:dyDescent="0.25">
      <c r="A72">
        <f>'building data set'!A72</f>
        <v>2008</v>
      </c>
      <c r="B72">
        <f>'building data set'!B72</f>
        <v>87</v>
      </c>
      <c r="C72" t="str">
        <f>'building data set'!C72</f>
        <v>Tech</v>
      </c>
      <c r="D72" t="str">
        <f>'building data set'!D72</f>
        <v>Sr. Unsec.</v>
      </c>
      <c r="E72">
        <f>'building data set'!E72</f>
        <v>0.37784654041051868</v>
      </c>
      <c r="F72">
        <f>'building data set'!F72</f>
        <v>0.73434035507544626</v>
      </c>
      <c r="G72">
        <f>'building data set'!G72</f>
        <v>0.63600000000000001</v>
      </c>
      <c r="H72">
        <f>'building data set'!H72</f>
        <v>0.48599999999999999</v>
      </c>
    </row>
    <row r="73" spans="1:8" x14ac:dyDescent="0.25">
      <c r="A73">
        <f>'building data set'!A73</f>
        <v>2008</v>
      </c>
      <c r="B73">
        <f>'building data set'!B73</f>
        <v>87</v>
      </c>
      <c r="C73" t="str">
        <f>'building data set'!C73</f>
        <v>Tech</v>
      </c>
      <c r="D73" t="str">
        <f>'building data set'!D73</f>
        <v>Sub.</v>
      </c>
      <c r="E73">
        <f>'building data set'!E73</f>
        <v>0.24836604337394241</v>
      </c>
      <c r="F73">
        <f>'building data set'!F73</f>
        <v>0.73434035507544626</v>
      </c>
      <c r="G73">
        <f>'building data set'!G73</f>
        <v>0.71120000000000005</v>
      </c>
      <c r="H73">
        <f>'building data set'!H73</f>
        <v>0.48599999999999999</v>
      </c>
    </row>
    <row r="74" spans="1:8" x14ac:dyDescent="0.25">
      <c r="A74">
        <f>'building data set'!A74</f>
        <v>2008</v>
      </c>
      <c r="B74">
        <f>'building data set'!B74</f>
        <v>88</v>
      </c>
      <c r="C74" t="str">
        <f>'building data set'!C74</f>
        <v>Retail</v>
      </c>
      <c r="D74" t="str">
        <f>'building data set'!D74</f>
        <v>Sr. Sub.</v>
      </c>
      <c r="E74">
        <f>'building data set'!E74</f>
        <v>0.99</v>
      </c>
      <c r="F74">
        <f>'building data set'!F74</f>
        <v>0.52206271546701233</v>
      </c>
      <c r="G74">
        <f>'building data set'!G74</f>
        <v>0.68120000000000003</v>
      </c>
      <c r="H74">
        <f>'building data set'!H74</f>
        <v>1.802</v>
      </c>
    </row>
    <row r="75" spans="1:8" x14ac:dyDescent="0.25">
      <c r="A75">
        <f>'building data set'!A75</f>
        <v>2008</v>
      </c>
      <c r="B75">
        <f>'building data set'!B75</f>
        <v>89</v>
      </c>
      <c r="C75" t="str">
        <f>'building data set'!C75</f>
        <v>Retail</v>
      </c>
      <c r="D75" t="str">
        <f>'building data set'!D75</f>
        <v>Sr. Sub.</v>
      </c>
      <c r="E75">
        <f>'building data set'!E75</f>
        <v>0.87525740684866904</v>
      </c>
      <c r="F75">
        <f>'building data set'!F75</f>
        <v>0.95318870342777562</v>
      </c>
      <c r="G75">
        <f>'building data set'!G75</f>
        <v>0.68120000000000003</v>
      </c>
      <c r="H75">
        <f>'building data set'!H75</f>
        <v>1.802</v>
      </c>
    </row>
    <row r="76" spans="1:8" x14ac:dyDescent="0.25">
      <c r="A76">
        <f>'building data set'!A76</f>
        <v>2008</v>
      </c>
      <c r="B76">
        <f>'building data set'!B76</f>
        <v>90</v>
      </c>
      <c r="C76" t="str">
        <f>'building data set'!C76</f>
        <v>Media</v>
      </c>
      <c r="D76" t="str">
        <f>'building data set'!D76</f>
        <v>Sr. Unsec.</v>
      </c>
      <c r="E76">
        <f>'building data set'!E76</f>
        <v>0.91139864739155774</v>
      </c>
      <c r="F76">
        <f>'building data set'!F76</f>
        <v>0.83699916150606346</v>
      </c>
      <c r="G76">
        <f>'building data set'!G76</f>
        <v>0.63600000000000001</v>
      </c>
      <c r="H76">
        <f>'building data set'!H76</f>
        <v>0.92</v>
      </c>
    </row>
    <row r="77" spans="1:8" x14ac:dyDescent="0.25">
      <c r="A77">
        <f>'building data set'!A77</f>
        <v>2008</v>
      </c>
      <c r="B77">
        <f>'building data set'!B77</f>
        <v>92</v>
      </c>
      <c r="C77" t="str">
        <f>'building data set'!C77</f>
        <v>Tech</v>
      </c>
      <c r="D77" t="str">
        <f>'building data set'!D77</f>
        <v>Sr. Unsec.</v>
      </c>
      <c r="E77">
        <f>'building data set'!E77</f>
        <v>0.89476252312660221</v>
      </c>
      <c r="F77">
        <f>'building data set'!F77</f>
        <v>0.74755604917707652</v>
      </c>
      <c r="G77">
        <f>'building data set'!G77</f>
        <v>0.63600000000000001</v>
      </c>
      <c r="H77">
        <f>'building data set'!H77</f>
        <v>0.48599999999999999</v>
      </c>
    </row>
    <row r="78" spans="1:8" x14ac:dyDescent="0.25">
      <c r="A78">
        <f>'building data set'!A78</f>
        <v>2008</v>
      </c>
      <c r="B78">
        <f>'building data set'!B78</f>
        <v>94</v>
      </c>
      <c r="C78" t="str">
        <f>'building data set'!C78</f>
        <v>Retail</v>
      </c>
      <c r="D78" t="str">
        <f>'building data set'!D78</f>
        <v>Sr. Unsec.</v>
      </c>
      <c r="E78">
        <f>'building data set'!E78</f>
        <v>0.97135278132557867</v>
      </c>
      <c r="F78">
        <f>'building data set'!F78</f>
        <v>0.61874319906178898</v>
      </c>
      <c r="G78">
        <f>'building data set'!G78</f>
        <v>0.63600000000000001</v>
      </c>
      <c r="H78">
        <f>'building data set'!H78</f>
        <v>1.802</v>
      </c>
    </row>
    <row r="79" spans="1:8" x14ac:dyDescent="0.25">
      <c r="A79">
        <f>'building data set'!A79</f>
        <v>2008</v>
      </c>
      <c r="B79">
        <f>'building data set'!B79</f>
        <v>95</v>
      </c>
      <c r="C79" t="str">
        <f>'building data set'!C79</f>
        <v>Cons G</v>
      </c>
      <c r="D79" t="str">
        <f>'building data set'!D79</f>
        <v>Sr. Sec.</v>
      </c>
      <c r="E79">
        <f>'building data set'!E79</f>
        <v>0.41494040352106099</v>
      </c>
      <c r="F79">
        <f>'building data set'!F79</f>
        <v>0.19787458683197831</v>
      </c>
      <c r="G79">
        <f>'building data set'!G79</f>
        <v>0.48199999999999998</v>
      </c>
      <c r="H79">
        <f>'building data set'!H79</f>
        <v>0.65100000000000002</v>
      </c>
    </row>
    <row r="80" spans="1:8" x14ac:dyDescent="0.25">
      <c r="A80">
        <f>'building data set'!A80</f>
        <v>2008</v>
      </c>
      <c r="B80">
        <f>'building data set'!B80</f>
        <v>96</v>
      </c>
      <c r="C80" t="str">
        <f>'building data set'!C80</f>
        <v>Retail</v>
      </c>
      <c r="D80" t="str">
        <f>'building data set'!D80</f>
        <v>Sr. Sub.</v>
      </c>
      <c r="E80">
        <f>'building data set'!E80</f>
        <v>0.96787419640171524</v>
      </c>
      <c r="F80">
        <f>'building data set'!F80</f>
        <v>0.66301312007118229</v>
      </c>
      <c r="G80">
        <f>'building data set'!G80</f>
        <v>0.68120000000000003</v>
      </c>
      <c r="H80">
        <f>'building data set'!H80</f>
        <v>1.802</v>
      </c>
    </row>
    <row r="81" spans="1:8" x14ac:dyDescent="0.25">
      <c r="A81">
        <f>'building data set'!A81</f>
        <v>2008</v>
      </c>
      <c r="B81">
        <f>'building data set'!B81</f>
        <v>97</v>
      </c>
      <c r="C81" t="str">
        <f>'building data set'!C81</f>
        <v>Media</v>
      </c>
      <c r="D81" t="str">
        <f>'building data set'!D81</f>
        <v>Sr. Unsec.</v>
      </c>
      <c r="E81">
        <f>'building data set'!E81</f>
        <v>0.96173890941143036</v>
      </c>
      <c r="F81">
        <f>'building data set'!F81</f>
        <v>0.31763891494624574</v>
      </c>
      <c r="G81">
        <f>'building data set'!G81</f>
        <v>0.63600000000000001</v>
      </c>
      <c r="H81">
        <f>'building data set'!H81</f>
        <v>0.92</v>
      </c>
    </row>
    <row r="82" spans="1:8" x14ac:dyDescent="0.25">
      <c r="A82">
        <f>'building data set'!A82</f>
        <v>2008</v>
      </c>
      <c r="B82">
        <f>'building data set'!B82</f>
        <v>97</v>
      </c>
      <c r="C82" t="str">
        <f>'building data set'!C82</f>
        <v>Media</v>
      </c>
      <c r="D82" t="str">
        <f>'building data set'!D82</f>
        <v>Sub.</v>
      </c>
      <c r="E82">
        <f>'building data set'!E82</f>
        <v>0.99</v>
      </c>
      <c r="F82">
        <f>'building data set'!F82</f>
        <v>0.31763891494624574</v>
      </c>
      <c r="G82">
        <f>'building data set'!G82</f>
        <v>0.71120000000000005</v>
      </c>
      <c r="H82">
        <f>'building data set'!H82</f>
        <v>0.92</v>
      </c>
    </row>
    <row r="83" spans="1:8" x14ac:dyDescent="0.25">
      <c r="A83">
        <f>'building data set'!A83</f>
        <v>2008</v>
      </c>
      <c r="B83">
        <f>'building data set'!B83</f>
        <v>101</v>
      </c>
      <c r="C83" t="str">
        <f>'building data set'!C83</f>
        <v>Retail</v>
      </c>
      <c r="D83" t="str">
        <f>'building data set'!D83</f>
        <v>Sr. Sub.</v>
      </c>
      <c r="E83">
        <f>'building data set'!E83</f>
        <v>0.27172674984931955</v>
      </c>
      <c r="F83">
        <f>'building data set'!F83</f>
        <v>8.3188082951673237E-2</v>
      </c>
      <c r="G83">
        <f>'building data set'!G83</f>
        <v>0.68120000000000003</v>
      </c>
      <c r="H83">
        <f>'building data set'!H83</f>
        <v>1.802</v>
      </c>
    </row>
    <row r="84" spans="1:8" x14ac:dyDescent="0.25">
      <c r="A84">
        <f>'building data set'!A84</f>
        <v>2008</v>
      </c>
      <c r="B84">
        <f>'building data set'!B84</f>
        <v>103</v>
      </c>
      <c r="C84" t="str">
        <f>'building data set'!C84</f>
        <v>Transp</v>
      </c>
      <c r="D84" t="str">
        <f>'building data set'!D84</f>
        <v>Sr. Sec.</v>
      </c>
      <c r="E84">
        <f>'building data set'!E84</f>
        <v>0.69783712044209245</v>
      </c>
      <c r="F84">
        <f>'building data set'!F84</f>
        <v>0.37310963843781886</v>
      </c>
      <c r="G84">
        <f>'building data set'!G84</f>
        <v>0.48199999999999998</v>
      </c>
      <c r="H84">
        <f>'building data set'!H84</f>
        <v>0</v>
      </c>
    </row>
    <row r="85" spans="1:8" x14ac:dyDescent="0.25">
      <c r="A85">
        <f>'building data set'!A85</f>
        <v>2008</v>
      </c>
      <c r="B85">
        <f>'building data set'!B85</f>
        <v>104</v>
      </c>
      <c r="C85" t="str">
        <f>'building data set'!C85</f>
        <v>Cap Ind</v>
      </c>
      <c r="D85" t="str">
        <f>'building data set'!D85</f>
        <v>Sr. Unsec.</v>
      </c>
      <c r="E85">
        <f>'building data set'!E85</f>
        <v>0.99</v>
      </c>
      <c r="F85">
        <f>'building data set'!F85</f>
        <v>0.38618972479681807</v>
      </c>
      <c r="G85">
        <f>'building data set'!G85</f>
        <v>0.63600000000000001</v>
      </c>
      <c r="H85">
        <f>'building data set'!H85</f>
        <v>0.71499999999999997</v>
      </c>
    </row>
    <row r="86" spans="1:8" x14ac:dyDescent="0.25">
      <c r="A86">
        <f>'building data set'!A86</f>
        <v>2008</v>
      </c>
      <c r="B86">
        <f>'building data set'!B86</f>
        <v>105</v>
      </c>
      <c r="C86" t="str">
        <f>'building data set'!C86</f>
        <v>Media</v>
      </c>
      <c r="D86" t="str">
        <f>'building data set'!D86</f>
        <v>Sr. Unsec.</v>
      </c>
      <c r="E86">
        <f>'building data set'!E86</f>
        <v>0.46285301174968485</v>
      </c>
      <c r="F86">
        <f>'building data set'!F86</f>
        <v>0.64926495066044143</v>
      </c>
      <c r="G86">
        <f>'building data set'!G86</f>
        <v>0.63600000000000001</v>
      </c>
      <c r="H86">
        <f>'building data set'!H86</f>
        <v>0.92</v>
      </c>
    </row>
    <row r="87" spans="1:8" x14ac:dyDescent="0.25">
      <c r="A87">
        <f>'building data set'!A87</f>
        <v>2008</v>
      </c>
      <c r="B87">
        <f>'building data set'!B87</f>
        <v>106</v>
      </c>
      <c r="C87" t="str">
        <f>'building data set'!C87</f>
        <v>Media</v>
      </c>
      <c r="D87" t="str">
        <f>'building data set'!D87</f>
        <v>Sr. Sub.</v>
      </c>
      <c r="E87">
        <f>'building data set'!E87</f>
        <v>0.8950770333170891</v>
      </c>
      <c r="F87">
        <f>'building data set'!F87</f>
        <v>0.44327176412729286</v>
      </c>
      <c r="G87">
        <f>'building data set'!G87</f>
        <v>0.68120000000000003</v>
      </c>
      <c r="H87">
        <f>'building data set'!H87</f>
        <v>0.92</v>
      </c>
    </row>
    <row r="88" spans="1:8" x14ac:dyDescent="0.25">
      <c r="A88">
        <f>'building data set'!A88</f>
        <v>2008</v>
      </c>
      <c r="B88">
        <f>'building data set'!B88</f>
        <v>107</v>
      </c>
      <c r="C88" t="str">
        <f>'building data set'!C88</f>
        <v>Retail</v>
      </c>
      <c r="D88" t="str">
        <f>'building data set'!D88</f>
        <v>Sr. Unsec.</v>
      </c>
      <c r="E88">
        <f>'building data set'!E88</f>
        <v>0.94002861753106115</v>
      </c>
      <c r="F88">
        <f>'building data set'!F88</f>
        <v>0.42427551441304501</v>
      </c>
      <c r="G88">
        <f>'building data set'!G88</f>
        <v>0.63600000000000001</v>
      </c>
      <c r="H88">
        <f>'building data set'!H88</f>
        <v>1.802</v>
      </c>
    </row>
    <row r="89" spans="1:8" x14ac:dyDescent="0.25">
      <c r="A89">
        <f>'building data set'!A89</f>
        <v>2008</v>
      </c>
      <c r="B89">
        <f>'building data set'!B89</f>
        <v>107</v>
      </c>
      <c r="C89" t="str">
        <f>'building data set'!C89</f>
        <v>Retail</v>
      </c>
      <c r="D89" t="str">
        <f>'building data set'!D89</f>
        <v>Sr. Sub.</v>
      </c>
      <c r="E89">
        <f>'building data set'!E89</f>
        <v>0.99</v>
      </c>
      <c r="F89">
        <f>'building data set'!F89</f>
        <v>0.42427551441304501</v>
      </c>
      <c r="G89">
        <f>'building data set'!G89</f>
        <v>0.68120000000000003</v>
      </c>
      <c r="H89">
        <f>'building data set'!H89</f>
        <v>1.802</v>
      </c>
    </row>
    <row r="90" spans="1:8" x14ac:dyDescent="0.25">
      <c r="A90">
        <f>'building data set'!A90</f>
        <v>2008</v>
      </c>
      <c r="B90">
        <f>'building data set'!B90</f>
        <v>108</v>
      </c>
      <c r="C90" t="str">
        <f>'building data set'!C90</f>
        <v>Tech</v>
      </c>
      <c r="D90" t="str">
        <f>'building data set'!D90</f>
        <v>Sr. Unsec.</v>
      </c>
      <c r="E90">
        <f>'building data set'!E90</f>
        <v>0.80151248413473364</v>
      </c>
      <c r="F90">
        <f>'building data set'!F90</f>
        <v>0.90795402350256382</v>
      </c>
      <c r="G90">
        <f>'building data set'!G90</f>
        <v>0.63600000000000001</v>
      </c>
      <c r="H90">
        <f>'building data set'!H90</f>
        <v>0.48599999999999999</v>
      </c>
    </row>
    <row r="91" spans="1:8" x14ac:dyDescent="0.25">
      <c r="A91">
        <f>'building data set'!A91</f>
        <v>2008</v>
      </c>
      <c r="B91">
        <f>'building data set'!B91</f>
        <v>109</v>
      </c>
      <c r="C91" t="str">
        <f>'building data set'!C91</f>
        <v>Transp</v>
      </c>
      <c r="D91" t="str">
        <f>'building data set'!D91</f>
        <v>Sr. Unsec.</v>
      </c>
      <c r="E91">
        <f>'building data set'!E91</f>
        <v>0.71799845069324975</v>
      </c>
      <c r="F91">
        <f>'building data set'!F91</f>
        <v>0.5730565842116091</v>
      </c>
      <c r="G91">
        <f>'building data set'!G91</f>
        <v>0.63600000000000001</v>
      </c>
      <c r="H91">
        <f>'building data set'!H91</f>
        <v>0</v>
      </c>
    </row>
    <row r="92" spans="1:8" x14ac:dyDescent="0.25">
      <c r="A92">
        <f>'building data set'!A92</f>
        <v>2008</v>
      </c>
      <c r="B92">
        <f>'building data set'!B92</f>
        <v>109</v>
      </c>
      <c r="C92" t="str">
        <f>'building data set'!C92</f>
        <v>Transp</v>
      </c>
      <c r="D92" t="str">
        <f>'building data set'!D92</f>
        <v>Sr. Sub.</v>
      </c>
      <c r="E92">
        <f>'building data set'!E92</f>
        <v>0.46551657907664779</v>
      </c>
      <c r="F92">
        <f>'building data set'!F92</f>
        <v>0.5730565842116091</v>
      </c>
      <c r="G92">
        <f>'building data set'!G92</f>
        <v>0.68120000000000003</v>
      </c>
      <c r="H92">
        <f>'building data set'!H92</f>
        <v>0</v>
      </c>
    </row>
    <row r="93" spans="1:8" x14ac:dyDescent="0.25">
      <c r="A93">
        <f>'building data set'!A93</f>
        <v>2008</v>
      </c>
      <c r="B93">
        <f>'building data set'!B93</f>
        <v>110</v>
      </c>
      <c r="C93" t="str">
        <f>'building data set'!C93</f>
        <v>Cap Ind</v>
      </c>
      <c r="D93" t="str">
        <f>'building data set'!D93</f>
        <v>Sr. Unsec.</v>
      </c>
      <c r="E93">
        <f>'building data set'!E93</f>
        <v>0.29081846971511849</v>
      </c>
      <c r="F93">
        <f>'building data set'!F93</f>
        <v>0.28582809913874851</v>
      </c>
      <c r="G93">
        <f>'building data set'!G93</f>
        <v>0.63600000000000001</v>
      </c>
      <c r="H93">
        <f>'building data set'!H93</f>
        <v>0.71499999999999997</v>
      </c>
    </row>
    <row r="94" spans="1:8" x14ac:dyDescent="0.25">
      <c r="A94">
        <f>'building data set'!A94</f>
        <v>2008</v>
      </c>
      <c r="B94">
        <f>'building data set'!B94</f>
        <v>112</v>
      </c>
      <c r="C94" t="str">
        <f>'building data set'!C94</f>
        <v>Transp</v>
      </c>
      <c r="D94" t="str">
        <f>'building data set'!D94</f>
        <v>Sr. Unsec.</v>
      </c>
      <c r="E94">
        <f>'building data set'!E94</f>
        <v>0.33584004114037758</v>
      </c>
      <c r="F94">
        <f>'building data set'!F94</f>
        <v>0.51</v>
      </c>
      <c r="G94">
        <f>'building data set'!G94</f>
        <v>0.63600000000000001</v>
      </c>
      <c r="H94">
        <f>'building data set'!H94</f>
        <v>0</v>
      </c>
    </row>
    <row r="95" spans="1:8" x14ac:dyDescent="0.25">
      <c r="A95">
        <f>'building data set'!A95</f>
        <v>2008</v>
      </c>
      <c r="B95">
        <f>'building data set'!B95</f>
        <v>113</v>
      </c>
      <c r="C95" t="str">
        <f>'building data set'!C95</f>
        <v>Media</v>
      </c>
      <c r="D95" t="str">
        <f>'building data set'!D95</f>
        <v>Sr. Unsec.</v>
      </c>
      <c r="E95">
        <f>'building data set'!E95</f>
        <v>0.18713916675448417</v>
      </c>
      <c r="F95">
        <f>'building data set'!F95</f>
        <v>0.30464169858182077</v>
      </c>
      <c r="G95">
        <f>'building data set'!G95</f>
        <v>0.63600000000000001</v>
      </c>
      <c r="H95">
        <f>'building data set'!H95</f>
        <v>0.92</v>
      </c>
    </row>
    <row r="96" spans="1:8" x14ac:dyDescent="0.25">
      <c r="A96">
        <f>'building data set'!A96</f>
        <v>2008</v>
      </c>
      <c r="B96">
        <f>'building data set'!B96</f>
        <v>114</v>
      </c>
      <c r="C96" t="str">
        <f>'building data set'!C96</f>
        <v>Media</v>
      </c>
      <c r="D96" t="str">
        <f>'building data set'!D96</f>
        <v>Sr. Unsec.</v>
      </c>
      <c r="E96">
        <f>'building data set'!E96</f>
        <v>0.97137140524387355</v>
      </c>
      <c r="F96">
        <f>'building data set'!F96</f>
        <v>0.67261373475313246</v>
      </c>
      <c r="G96">
        <f>'building data set'!G96</f>
        <v>0.63600000000000001</v>
      </c>
      <c r="H96">
        <f>'building data set'!H96</f>
        <v>0.92</v>
      </c>
    </row>
    <row r="97" spans="1:8" x14ac:dyDescent="0.25">
      <c r="A97">
        <f>'building data set'!A97</f>
        <v>2008</v>
      </c>
      <c r="B97">
        <f>'building data set'!B97</f>
        <v>114</v>
      </c>
      <c r="C97" t="str">
        <f>'building data set'!C97</f>
        <v>Media</v>
      </c>
      <c r="D97" t="str">
        <f>'building data set'!D97</f>
        <v>Sub.</v>
      </c>
      <c r="E97">
        <f>'building data set'!E97</f>
        <v>0.99</v>
      </c>
      <c r="F97">
        <f>'building data set'!F97</f>
        <v>0.67261373475313246</v>
      </c>
      <c r="G97">
        <f>'building data set'!G97</f>
        <v>0.71120000000000005</v>
      </c>
      <c r="H97">
        <f>'building data set'!H97</f>
        <v>0.92</v>
      </c>
    </row>
    <row r="98" spans="1:8" x14ac:dyDescent="0.25">
      <c r="A98">
        <f>'building data set'!A98</f>
        <v>2008</v>
      </c>
      <c r="B98">
        <f>'building data set'!B98</f>
        <v>115</v>
      </c>
      <c r="C98" t="str">
        <f>'building data set'!C98</f>
        <v>Transp</v>
      </c>
      <c r="D98" t="str">
        <f>'building data set'!D98</f>
        <v>Sr. Unsec.</v>
      </c>
      <c r="E98">
        <f>'building data set'!E98</f>
        <v>0.32264594677954916</v>
      </c>
      <c r="F98">
        <f>'building data set'!F98</f>
        <v>7.258593982974812E-2</v>
      </c>
      <c r="G98">
        <f>'building data set'!G98</f>
        <v>0.63600000000000001</v>
      </c>
      <c r="H98">
        <f>'building data set'!H98</f>
        <v>0</v>
      </c>
    </row>
    <row r="99" spans="1:8" x14ac:dyDescent="0.25">
      <c r="A99">
        <f>'building data set'!A99</f>
        <v>2008</v>
      </c>
      <c r="B99">
        <f>'building data set'!B99</f>
        <v>117</v>
      </c>
      <c r="C99" t="str">
        <f>'building data set'!C99</f>
        <v>Transp</v>
      </c>
      <c r="D99" t="str">
        <f>'building data set'!D99</f>
        <v>Sr. Sec.</v>
      </c>
      <c r="E99">
        <f>'building data set'!E99</f>
        <v>0.28635053664445875</v>
      </c>
      <c r="F99">
        <f>'building data set'!F99</f>
        <v>0.1516781108947598</v>
      </c>
      <c r="G99">
        <f>'building data set'!G99</f>
        <v>0.48199999999999998</v>
      </c>
      <c r="H99">
        <f>'building data set'!H99</f>
        <v>0</v>
      </c>
    </row>
    <row r="100" spans="1:8" x14ac:dyDescent="0.25">
      <c r="A100">
        <f>'building data set'!A100</f>
        <v>2008</v>
      </c>
      <c r="B100">
        <f>'building data set'!B100</f>
        <v>118</v>
      </c>
      <c r="C100" t="str">
        <f>'building data set'!C100</f>
        <v>Retail</v>
      </c>
      <c r="D100" t="str">
        <f>'building data set'!D100</f>
        <v>Sr. Unsec.</v>
      </c>
      <c r="E100">
        <f>'building data set'!E100</f>
        <v>0.55920900090932846</v>
      </c>
      <c r="F100">
        <f>'building data set'!F100</f>
        <v>0.26190642057196828</v>
      </c>
      <c r="G100">
        <f>'building data set'!G100</f>
        <v>0.63600000000000001</v>
      </c>
      <c r="H100">
        <f>'building data set'!H100</f>
        <v>1.802</v>
      </c>
    </row>
    <row r="101" spans="1:8" x14ac:dyDescent="0.25">
      <c r="A101">
        <f>'building data set'!A101</f>
        <v>2008</v>
      </c>
      <c r="B101">
        <f>'building data set'!B101</f>
        <v>119</v>
      </c>
      <c r="C101" t="str">
        <f>'building data set'!C101</f>
        <v>Media</v>
      </c>
      <c r="D101" t="str">
        <f>'building data set'!D101</f>
        <v>Sr. Unsec.</v>
      </c>
      <c r="E101">
        <f>'building data set'!E101</f>
        <v>0.99</v>
      </c>
      <c r="F101">
        <f>'building data set'!F101</f>
        <v>0.55367934354280579</v>
      </c>
      <c r="G101">
        <f>'building data set'!G101</f>
        <v>0.63600000000000001</v>
      </c>
      <c r="H101">
        <f>'building data set'!H101</f>
        <v>0.92</v>
      </c>
    </row>
    <row r="102" spans="1:8" x14ac:dyDescent="0.25">
      <c r="A102">
        <f>'building data set'!A102</f>
        <v>2008</v>
      </c>
      <c r="B102">
        <f>'building data set'!B102</f>
        <v>120</v>
      </c>
      <c r="C102" t="str">
        <f>'building data set'!C102</f>
        <v>Retail</v>
      </c>
      <c r="D102" t="str">
        <f>'building data set'!D102</f>
        <v>Sr. Sub.</v>
      </c>
      <c r="E102">
        <f>'building data set'!E102</f>
        <v>0.31125581919997924</v>
      </c>
      <c r="F102">
        <f>'building data set'!F102</f>
        <v>0.30380197140973264</v>
      </c>
      <c r="G102">
        <f>'building data set'!G102</f>
        <v>0.68120000000000003</v>
      </c>
      <c r="H102">
        <f>'building data set'!H102</f>
        <v>1.802</v>
      </c>
    </row>
    <row r="103" spans="1:8" x14ac:dyDescent="0.25">
      <c r="A103">
        <f>'building data set'!A103</f>
        <v>2008</v>
      </c>
      <c r="B103">
        <f>'building data set'!B103</f>
        <v>121</v>
      </c>
      <c r="C103" t="str">
        <f>'building data set'!C103</f>
        <v>Tech</v>
      </c>
      <c r="D103" t="str">
        <f>'building data set'!D103</f>
        <v>Sr. Unsec.</v>
      </c>
      <c r="E103">
        <f>'building data set'!E103</f>
        <v>0.93297019857168195</v>
      </c>
      <c r="F103">
        <f>'building data set'!F103</f>
        <v>0.62613678209893253</v>
      </c>
      <c r="G103">
        <f>'building data set'!G103</f>
        <v>0.63600000000000001</v>
      </c>
      <c r="H103">
        <f>'building data set'!H103</f>
        <v>0.48599999999999999</v>
      </c>
    </row>
    <row r="104" spans="1:8" x14ac:dyDescent="0.25">
      <c r="A104">
        <f>'building data set'!A104</f>
        <v>2008</v>
      </c>
      <c r="B104">
        <f>'building data set'!B104</f>
        <v>122</v>
      </c>
      <c r="C104" t="str">
        <f>'building data set'!C104</f>
        <v>Transp</v>
      </c>
      <c r="D104" t="str">
        <f>'building data set'!D104</f>
        <v>Sr. Unsec.</v>
      </c>
      <c r="E104">
        <f>'building data set'!E104</f>
        <v>0.99</v>
      </c>
      <c r="F104">
        <f>'building data set'!F104</f>
        <v>0.31731812403338355</v>
      </c>
      <c r="G104">
        <f>'building data set'!G104</f>
        <v>0.63600000000000001</v>
      </c>
      <c r="H104">
        <f>'building data set'!H104</f>
        <v>0</v>
      </c>
    </row>
    <row r="105" spans="1:8" x14ac:dyDescent="0.25">
      <c r="A105">
        <f>'building data set'!A105</f>
        <v>2008</v>
      </c>
      <c r="B105">
        <f>'building data set'!B105</f>
        <v>123</v>
      </c>
      <c r="C105" t="str">
        <f>'building data set'!C105</f>
        <v>Retail</v>
      </c>
      <c r="D105" t="str">
        <f>'building data set'!D105</f>
        <v>Sr. Unsec.</v>
      </c>
      <c r="E105">
        <f>'building data set'!E105</f>
        <v>0.75138366169929505</v>
      </c>
      <c r="F105">
        <f>'building data set'!F105</f>
        <v>0.88304343069253255</v>
      </c>
      <c r="G105">
        <f>'building data set'!G105</f>
        <v>0.63600000000000001</v>
      </c>
      <c r="H105">
        <f>'building data set'!H105</f>
        <v>1.802</v>
      </c>
    </row>
    <row r="106" spans="1:8" x14ac:dyDescent="0.25">
      <c r="A106">
        <f>'building data set'!A106</f>
        <v>2008</v>
      </c>
      <c r="B106">
        <f>'building data set'!B106</f>
        <v>124</v>
      </c>
      <c r="C106" t="str">
        <f>'building data set'!C106</f>
        <v>Cons G</v>
      </c>
      <c r="D106" t="str">
        <f>'building data set'!D106</f>
        <v>Sr. Unsec.</v>
      </c>
      <c r="E106">
        <f>'building data set'!E106</f>
        <v>0.69090181032019859</v>
      </c>
      <c r="F106">
        <f>'building data set'!F106</f>
        <v>0.80898648367000381</v>
      </c>
      <c r="G106">
        <f>'building data set'!G106</f>
        <v>0.63600000000000001</v>
      </c>
      <c r="H106">
        <f>'building data set'!H106</f>
        <v>0.65100000000000002</v>
      </c>
    </row>
    <row r="107" spans="1:8" x14ac:dyDescent="0.25">
      <c r="A107">
        <f>'building data set'!A107</f>
        <v>2008</v>
      </c>
      <c r="B107">
        <f>'building data set'!B107</f>
        <v>125</v>
      </c>
      <c r="C107" t="str">
        <f>'building data set'!C107</f>
        <v>Cons G</v>
      </c>
      <c r="D107" t="str">
        <f>'building data set'!D107</f>
        <v>Sr. Sec.</v>
      </c>
      <c r="E107">
        <f>'building data set'!E107</f>
        <v>0.40545830129384997</v>
      </c>
      <c r="F107">
        <f>'building data set'!F107</f>
        <v>0.29367431373295771</v>
      </c>
      <c r="G107">
        <f>'building data set'!G107</f>
        <v>0.48199999999999998</v>
      </c>
      <c r="H107">
        <f>'building data set'!H107</f>
        <v>0.65100000000000002</v>
      </c>
    </row>
    <row r="108" spans="1:8" x14ac:dyDescent="0.25">
      <c r="A108">
        <f>'building data set'!A108</f>
        <v>2008</v>
      </c>
      <c r="B108">
        <f>'building data set'!B108</f>
        <v>125</v>
      </c>
      <c r="C108" t="str">
        <f>'building data set'!C108</f>
        <v>Cons G</v>
      </c>
      <c r="D108" t="str">
        <f>'building data set'!D108</f>
        <v>Sr. Sub.</v>
      </c>
      <c r="E108">
        <f>'building data set'!E108</f>
        <v>0.97146591430902485</v>
      </c>
      <c r="F108">
        <f>'building data set'!F108</f>
        <v>0.29367431373295771</v>
      </c>
      <c r="G108">
        <f>'building data set'!G108</f>
        <v>0.68120000000000003</v>
      </c>
      <c r="H108">
        <f>'building data set'!H108</f>
        <v>0.65100000000000002</v>
      </c>
    </row>
    <row r="109" spans="1:8" x14ac:dyDescent="0.25">
      <c r="A109">
        <f>'building data set'!A109</f>
        <v>2008</v>
      </c>
      <c r="B109">
        <f>'building data set'!B109</f>
        <v>126</v>
      </c>
      <c r="C109" t="str">
        <f>'building data set'!C109</f>
        <v>Energy</v>
      </c>
      <c r="D109" t="str">
        <f>'building data set'!D109</f>
        <v>Sr. Unsec.</v>
      </c>
      <c r="E109">
        <f>'building data set'!E109</f>
        <v>0.96647910244464874</v>
      </c>
      <c r="F109">
        <f>'building data set'!F109</f>
        <v>0.26052044828296522</v>
      </c>
      <c r="G109">
        <f>'building data set'!G109</f>
        <v>0.63600000000000001</v>
      </c>
      <c r="H109">
        <f>'building data set'!H109</f>
        <v>0</v>
      </c>
    </row>
    <row r="110" spans="1:8" x14ac:dyDescent="0.25">
      <c r="A110">
        <f>'building data set'!A110</f>
        <v>2008</v>
      </c>
      <c r="B110">
        <f>'building data set'!B110</f>
        <v>127</v>
      </c>
      <c r="C110" t="str">
        <f>'building data set'!C110</f>
        <v>Media</v>
      </c>
      <c r="D110" t="str">
        <f>'building data set'!D110</f>
        <v>Sub.</v>
      </c>
      <c r="E110">
        <f>'building data set'!E110</f>
        <v>0.9047814211249352</v>
      </c>
      <c r="F110">
        <f>'building data set'!F110</f>
        <v>0.56308744944726985</v>
      </c>
      <c r="G110">
        <f>'building data set'!G110</f>
        <v>0.71120000000000005</v>
      </c>
      <c r="H110">
        <f>'building data set'!H110</f>
        <v>0.92</v>
      </c>
    </row>
    <row r="111" spans="1:8" x14ac:dyDescent="0.25">
      <c r="A111">
        <f>'building data set'!A111</f>
        <v>2008</v>
      </c>
      <c r="B111">
        <f>'building data set'!B111</f>
        <v>129</v>
      </c>
      <c r="C111" t="str">
        <f>'building data set'!C111</f>
        <v>Energy</v>
      </c>
      <c r="D111" t="str">
        <f>'building data set'!D111</f>
        <v>Sr. Sec.</v>
      </c>
      <c r="E111">
        <f>'building data set'!E111</f>
        <v>3.7434061872959168E-2</v>
      </c>
      <c r="F111">
        <f>'building data set'!F111</f>
        <v>0.28672206041384307</v>
      </c>
      <c r="G111">
        <f>'building data set'!G111</f>
        <v>0.48199999999999998</v>
      </c>
      <c r="H111">
        <f>'building data set'!H111</f>
        <v>0</v>
      </c>
    </row>
    <row r="112" spans="1:8" x14ac:dyDescent="0.25">
      <c r="A112">
        <f>'building data set'!A112</f>
        <v>2008</v>
      </c>
      <c r="B112">
        <f>'building data set'!B112</f>
        <v>131</v>
      </c>
      <c r="C112" t="str">
        <f>'building data set'!C112</f>
        <v>Retail</v>
      </c>
      <c r="D112" t="str">
        <f>'building data set'!D112</f>
        <v>Sr. Unsec.</v>
      </c>
      <c r="E112">
        <f>'building data set'!E112</f>
        <v>0.89032321428954597</v>
      </c>
      <c r="F112">
        <f>'building data set'!F112</f>
        <v>0.3164972363445373</v>
      </c>
      <c r="G112">
        <f>'building data set'!G112</f>
        <v>0.63600000000000001</v>
      </c>
      <c r="H112">
        <f>'building data set'!H112</f>
        <v>1.802</v>
      </c>
    </row>
    <row r="113" spans="1:8" x14ac:dyDescent="0.25">
      <c r="A113">
        <f>'building data set'!A113</f>
        <v>2008</v>
      </c>
      <c r="B113">
        <f>'building data set'!B113</f>
        <v>132</v>
      </c>
      <c r="C113" t="str">
        <f>'building data set'!C113</f>
        <v>Media</v>
      </c>
      <c r="D113" t="str">
        <f>'building data set'!D113</f>
        <v>Sr. Sub.</v>
      </c>
      <c r="E113">
        <f>'building data set'!E113</f>
        <v>0.8080750613212585</v>
      </c>
      <c r="F113">
        <f>'building data set'!F113</f>
        <v>0.67717724443868488</v>
      </c>
      <c r="G113">
        <f>'building data set'!G113</f>
        <v>0.68120000000000003</v>
      </c>
      <c r="H113">
        <f>'building data set'!H113</f>
        <v>0.92</v>
      </c>
    </row>
    <row r="114" spans="1:8" x14ac:dyDescent="0.25">
      <c r="A114">
        <f>'building data set'!A114</f>
        <v>2008</v>
      </c>
      <c r="B114">
        <f>'building data set'!B114</f>
        <v>133</v>
      </c>
      <c r="C114" t="str">
        <f>'building data set'!C114</f>
        <v>Retail</v>
      </c>
      <c r="D114" t="str">
        <f>'building data set'!D114</f>
        <v>Sr. Sub.</v>
      </c>
      <c r="E114">
        <f>'building data set'!E114</f>
        <v>0.80930909860134126</v>
      </c>
      <c r="F114">
        <f>'building data set'!F114</f>
        <v>0.46760560482850022</v>
      </c>
      <c r="G114">
        <f>'building data set'!G114</f>
        <v>0.68120000000000003</v>
      </c>
      <c r="H114">
        <f>'building data set'!H114</f>
        <v>1.802</v>
      </c>
    </row>
    <row r="115" spans="1:8" x14ac:dyDescent="0.25">
      <c r="A115">
        <f>'building data set'!A115</f>
        <v>2008</v>
      </c>
      <c r="B115">
        <f>'building data set'!B115</f>
        <v>134</v>
      </c>
      <c r="C115" t="str">
        <f>'building data set'!C115</f>
        <v>Tech</v>
      </c>
      <c r="D115" t="str">
        <f>'building data set'!D115</f>
        <v>Sr. Unsec.</v>
      </c>
      <c r="E115">
        <f>'building data set'!E115</f>
        <v>0.60797972234487541</v>
      </c>
      <c r="F115">
        <f>'building data set'!F115</f>
        <v>0.60037109241492548</v>
      </c>
      <c r="G115">
        <f>'building data set'!G115</f>
        <v>0.63600000000000001</v>
      </c>
      <c r="H115">
        <f>'building data set'!H115</f>
        <v>0.48599999999999999</v>
      </c>
    </row>
    <row r="116" spans="1:8" x14ac:dyDescent="0.25">
      <c r="A116">
        <f>'building data set'!A116</f>
        <v>2008</v>
      </c>
      <c r="B116">
        <f>'building data set'!B116</f>
        <v>135</v>
      </c>
      <c r="C116" t="str">
        <f>'building data set'!C116</f>
        <v>Transp</v>
      </c>
      <c r="D116" t="str">
        <f>'building data set'!D116</f>
        <v>Sr. Unsec.</v>
      </c>
      <c r="E116">
        <f>'building data set'!E116</f>
        <v>0.80842303812503813</v>
      </c>
      <c r="F116">
        <f>'building data set'!F116</f>
        <v>0.78147418480319919</v>
      </c>
      <c r="G116">
        <f>'building data set'!G116</f>
        <v>0.63600000000000001</v>
      </c>
      <c r="H116">
        <f>'building data set'!H116</f>
        <v>0</v>
      </c>
    </row>
    <row r="117" spans="1:8" x14ac:dyDescent="0.25">
      <c r="A117">
        <f>'building data set'!A117</f>
        <v>2008</v>
      </c>
      <c r="B117">
        <f>'building data set'!B117</f>
        <v>136</v>
      </c>
      <c r="C117" t="str">
        <f>'building data set'!C117</f>
        <v>Cons G</v>
      </c>
      <c r="D117" t="str">
        <f>'building data set'!D117</f>
        <v>Sr. Unsec.</v>
      </c>
      <c r="E117">
        <f>'building data set'!E117</f>
        <v>0.41977209057807918</v>
      </c>
      <c r="F117">
        <f>'building data set'!F117</f>
        <v>0.80645348513496729</v>
      </c>
      <c r="G117">
        <f>'building data set'!G117</f>
        <v>0.63600000000000001</v>
      </c>
      <c r="H117">
        <f>'building data set'!H117</f>
        <v>0.65100000000000002</v>
      </c>
    </row>
    <row r="118" spans="1:8" x14ac:dyDescent="0.25">
      <c r="A118">
        <f>'building data set'!A118</f>
        <v>2008</v>
      </c>
      <c r="B118">
        <f>'building data set'!B118</f>
        <v>137</v>
      </c>
      <c r="C118" t="str">
        <f>'building data set'!C118</f>
        <v>Cap Ind</v>
      </c>
      <c r="D118" t="str">
        <f>'building data set'!D118</f>
        <v>Sr. Unsec.</v>
      </c>
      <c r="E118">
        <f>'building data set'!E118</f>
        <v>0.32865962749719624</v>
      </c>
      <c r="F118">
        <f>'building data set'!F118</f>
        <v>0.69813072254870745</v>
      </c>
      <c r="G118">
        <f>'building data set'!G118</f>
        <v>0.63600000000000001</v>
      </c>
      <c r="H118">
        <f>'building data set'!H118</f>
        <v>0.71499999999999997</v>
      </c>
    </row>
    <row r="119" spans="1:8" x14ac:dyDescent="0.25">
      <c r="A119">
        <f>'building data set'!A119</f>
        <v>2008</v>
      </c>
      <c r="B119">
        <f>'building data set'!B119</f>
        <v>138</v>
      </c>
      <c r="C119" t="str">
        <f>'building data set'!C119</f>
        <v>Cons G</v>
      </c>
      <c r="D119" t="str">
        <f>'building data set'!D119</f>
        <v>Sr. Unsec.</v>
      </c>
      <c r="E119">
        <f>'building data set'!E119</f>
        <v>0.93339327968358998</v>
      </c>
      <c r="F119">
        <f>'building data set'!F119</f>
        <v>0.74432607679842167</v>
      </c>
      <c r="G119">
        <f>'building data set'!G119</f>
        <v>0.63600000000000001</v>
      </c>
      <c r="H119">
        <f>'building data set'!H119</f>
        <v>0.65100000000000002</v>
      </c>
    </row>
    <row r="120" spans="1:8" x14ac:dyDescent="0.25">
      <c r="A120">
        <f>'building data set'!A120</f>
        <v>2009</v>
      </c>
      <c r="B120">
        <f>'building data set'!B120</f>
        <v>201</v>
      </c>
      <c r="C120" t="str">
        <f>'building data set'!C120</f>
        <v>Retail</v>
      </c>
      <c r="D120" t="str">
        <f>'building data set'!D120</f>
        <v>Sr. Sub.</v>
      </c>
      <c r="E120">
        <f>'building data set'!E120</f>
        <v>0.99</v>
      </c>
      <c r="F120">
        <f>'building data set'!F120</f>
        <v>0.22438188279085836</v>
      </c>
      <c r="G120">
        <f>'building data set'!G120</f>
        <v>0.70330000000000004</v>
      </c>
      <c r="H120">
        <f>'building data set'!H120</f>
        <v>2.2469999999999999</v>
      </c>
    </row>
    <row r="121" spans="1:8" x14ac:dyDescent="0.25">
      <c r="A121">
        <f>'building data set'!A121</f>
        <v>2009</v>
      </c>
      <c r="B121">
        <f>'building data set'!B121</f>
        <v>202</v>
      </c>
      <c r="C121" t="str">
        <f>'building data set'!C121</f>
        <v>Tech</v>
      </c>
      <c r="D121" t="str">
        <f>'building data set'!D121</f>
        <v>Sr. Unsec.</v>
      </c>
      <c r="E121">
        <f>'building data set'!E121</f>
        <v>0.58567851135134696</v>
      </c>
      <c r="F121">
        <f>'building data set'!F121</f>
        <v>0.54066819129018129</v>
      </c>
      <c r="G121">
        <f>'building data set'!G121</f>
        <v>0.53820000000000001</v>
      </c>
      <c r="H121">
        <f>'building data set'!H121</f>
        <v>1.1639999999999999</v>
      </c>
    </row>
    <row r="122" spans="1:8" x14ac:dyDescent="0.25">
      <c r="A122">
        <f>'building data set'!A122</f>
        <v>2009</v>
      </c>
      <c r="B122">
        <f>'building data set'!B122</f>
        <v>205</v>
      </c>
      <c r="C122" t="str">
        <f>'building data set'!C122</f>
        <v>Media</v>
      </c>
      <c r="D122" t="str">
        <f>'building data set'!D122</f>
        <v>Sr. Unsec.</v>
      </c>
      <c r="E122">
        <f>'building data set'!E122</f>
        <v>0.23039194959998133</v>
      </c>
      <c r="F122">
        <f>'building data set'!F122</f>
        <v>0.52771465447406485</v>
      </c>
      <c r="G122">
        <f>'building data set'!G122</f>
        <v>0.53820000000000001</v>
      </c>
      <c r="H122">
        <f>'building data set'!H122</f>
        <v>4.1470000000000002</v>
      </c>
    </row>
    <row r="123" spans="1:8" x14ac:dyDescent="0.25">
      <c r="A123">
        <f>'building data set'!A123</f>
        <v>2009</v>
      </c>
      <c r="B123">
        <f>'building data set'!B123</f>
        <v>206</v>
      </c>
      <c r="C123" t="str">
        <f>'building data set'!C123</f>
        <v>Media</v>
      </c>
      <c r="D123" t="str">
        <f>'building data set'!D123</f>
        <v>Sr. Unsec.</v>
      </c>
      <c r="E123">
        <f>'building data set'!E123</f>
        <v>0.69939738728702072</v>
      </c>
      <c r="F123">
        <f>'building data set'!F123</f>
        <v>0.85869526296473697</v>
      </c>
      <c r="G123">
        <f>'building data set'!G123</f>
        <v>0.53820000000000001</v>
      </c>
      <c r="H123">
        <f>'building data set'!H123</f>
        <v>4.1470000000000002</v>
      </c>
    </row>
    <row r="124" spans="1:8" x14ac:dyDescent="0.25">
      <c r="A124">
        <f>'building data set'!A124</f>
        <v>2009</v>
      </c>
      <c r="B124">
        <f>'building data set'!B124</f>
        <v>209</v>
      </c>
      <c r="C124" t="str">
        <f>'building data set'!C124</f>
        <v>Transp</v>
      </c>
      <c r="D124" t="str">
        <f>'building data set'!D124</f>
        <v>Sr. Unsec.</v>
      </c>
      <c r="E124">
        <f>'building data set'!E124</f>
        <v>0.78480637878179549</v>
      </c>
      <c r="F124">
        <f>'building data set'!F124</f>
        <v>0.61585234327183769</v>
      </c>
      <c r="G124">
        <f>'building data set'!G124</f>
        <v>0.53820000000000001</v>
      </c>
      <c r="H124">
        <f>'building data set'!H124</f>
        <v>2.9630000000000001</v>
      </c>
    </row>
    <row r="125" spans="1:8" x14ac:dyDescent="0.25">
      <c r="A125">
        <f>'building data set'!A125</f>
        <v>2009</v>
      </c>
      <c r="B125">
        <f>'building data set'!B125</f>
        <v>210</v>
      </c>
      <c r="C125" t="str">
        <f>'building data set'!C125</f>
        <v>Retail</v>
      </c>
      <c r="D125" t="str">
        <f>'building data set'!D125</f>
        <v>Sr. Unsec.</v>
      </c>
      <c r="E125">
        <f>'building data set'!E125</f>
        <v>0.93517515173673627</v>
      </c>
      <c r="F125">
        <f>'building data set'!F125</f>
        <v>0.72527069986236237</v>
      </c>
      <c r="G125">
        <f>'building data set'!G125</f>
        <v>0.53820000000000001</v>
      </c>
      <c r="H125">
        <f>'building data set'!H125</f>
        <v>2.2469999999999999</v>
      </c>
    </row>
    <row r="126" spans="1:8" x14ac:dyDescent="0.25">
      <c r="A126">
        <f>'building data set'!A126</f>
        <v>2009</v>
      </c>
      <c r="B126">
        <f>'building data set'!B126</f>
        <v>211</v>
      </c>
      <c r="C126" t="str">
        <f>'building data set'!C126</f>
        <v>Tech</v>
      </c>
      <c r="D126" t="str">
        <f>'building data set'!D126</f>
        <v>Sr. Sec.</v>
      </c>
      <c r="E126">
        <f>'building data set'!E126</f>
        <v>0.61824803304672238</v>
      </c>
      <c r="F126">
        <f>'building data set'!F126</f>
        <v>0.7052215135721227</v>
      </c>
      <c r="G126">
        <f>'building data set'!G126</f>
        <v>0.36450000000000005</v>
      </c>
      <c r="H126">
        <f>'building data set'!H126</f>
        <v>1.1639999999999999</v>
      </c>
    </row>
    <row r="127" spans="1:8" x14ac:dyDescent="0.25">
      <c r="A127">
        <f>'building data set'!A127</f>
        <v>2009</v>
      </c>
      <c r="B127">
        <f>'building data set'!B127</f>
        <v>212</v>
      </c>
      <c r="C127" t="str">
        <f>'building data set'!C127</f>
        <v>Transp</v>
      </c>
      <c r="D127" t="str">
        <f>'building data set'!D127</f>
        <v>Sr. Unsec.</v>
      </c>
      <c r="E127">
        <f>'building data set'!E127</f>
        <v>0.43045723815798764</v>
      </c>
      <c r="F127">
        <f>'building data set'!F127</f>
        <v>0.67285132907658385</v>
      </c>
      <c r="G127">
        <f>'building data set'!G127</f>
        <v>0.53820000000000001</v>
      </c>
      <c r="H127">
        <f>'building data set'!H127</f>
        <v>2.9630000000000001</v>
      </c>
    </row>
    <row r="128" spans="1:8" x14ac:dyDescent="0.25">
      <c r="A128">
        <f>'building data set'!A128</f>
        <v>2009</v>
      </c>
      <c r="B128">
        <f>'building data set'!B128</f>
        <v>215</v>
      </c>
      <c r="C128" t="str">
        <f>'building data set'!C128</f>
        <v>Retail</v>
      </c>
      <c r="D128" t="str">
        <f>'building data set'!D128</f>
        <v>Sr. Unsec.</v>
      </c>
      <c r="E128">
        <f>'building data set'!E128</f>
        <v>0.25063029731750486</v>
      </c>
      <c r="F128">
        <f>'building data set'!F128</f>
        <v>0.38798333067414781</v>
      </c>
      <c r="G128">
        <f>'building data set'!G128</f>
        <v>0.53820000000000001</v>
      </c>
      <c r="H128">
        <f>'building data set'!H128</f>
        <v>2.2469999999999999</v>
      </c>
    </row>
    <row r="129" spans="1:8" x14ac:dyDescent="0.25">
      <c r="A129">
        <f>'building data set'!A129</f>
        <v>2009</v>
      </c>
      <c r="B129">
        <f>'building data set'!B129</f>
        <v>217</v>
      </c>
      <c r="C129" t="str">
        <f>'building data set'!C129</f>
        <v>Transp</v>
      </c>
      <c r="D129" t="str">
        <f>'building data set'!D129</f>
        <v>Sr. Sub.</v>
      </c>
      <c r="E129">
        <f>'building data set'!E129</f>
        <v>0.99</v>
      </c>
      <c r="F129">
        <f>'building data set'!F129</f>
        <v>0.86532215976236571</v>
      </c>
      <c r="G129">
        <f>'building data set'!G129</f>
        <v>0.70330000000000004</v>
      </c>
      <c r="H129">
        <f>'building data set'!H129</f>
        <v>2.9630000000000001</v>
      </c>
    </row>
    <row r="130" spans="1:8" x14ac:dyDescent="0.25">
      <c r="A130">
        <f>'building data set'!A130</f>
        <v>2009</v>
      </c>
      <c r="B130">
        <f>'building data set'!B130</f>
        <v>221</v>
      </c>
      <c r="C130" t="str">
        <f>'building data set'!C130</f>
        <v>Cap Ind</v>
      </c>
      <c r="D130" t="str">
        <f>'building data set'!D130</f>
        <v>Sr. Unsec.</v>
      </c>
      <c r="E130">
        <f>'building data set'!E130</f>
        <v>0.98182044752299791</v>
      </c>
      <c r="F130">
        <f>'building data set'!F130</f>
        <v>0.89541245407618697</v>
      </c>
      <c r="G130">
        <f>'building data set'!G130</f>
        <v>0.53820000000000001</v>
      </c>
      <c r="H130">
        <f>'building data set'!H130</f>
        <v>3.0710000000000002</v>
      </c>
    </row>
    <row r="131" spans="1:8" x14ac:dyDescent="0.25">
      <c r="A131">
        <f>'building data set'!A131</f>
        <v>2009</v>
      </c>
      <c r="B131">
        <f>'building data set'!B131</f>
        <v>221</v>
      </c>
      <c r="C131" t="str">
        <f>'building data set'!C131</f>
        <v>Cap Ind</v>
      </c>
      <c r="D131" t="str">
        <f>'building data set'!D131</f>
        <v>Sr. Sub.</v>
      </c>
      <c r="E131">
        <f>'building data set'!E131</f>
        <v>0.99</v>
      </c>
      <c r="F131">
        <f>'building data set'!F131</f>
        <v>0.89541245407618697</v>
      </c>
      <c r="G131">
        <f>'building data set'!G131</f>
        <v>0.70330000000000004</v>
      </c>
      <c r="H131">
        <f>'building data set'!H131</f>
        <v>3.0710000000000002</v>
      </c>
    </row>
    <row r="132" spans="1:8" x14ac:dyDescent="0.25">
      <c r="A132">
        <f>'building data set'!A132</f>
        <v>2009</v>
      </c>
      <c r="B132">
        <f>'building data set'!B132</f>
        <v>222</v>
      </c>
      <c r="C132" t="str">
        <f>'building data set'!C132</f>
        <v>Transp</v>
      </c>
      <c r="D132" t="str">
        <f>'building data set'!D132</f>
        <v>Sr. Unsec.</v>
      </c>
      <c r="E132">
        <f>'building data set'!E132</f>
        <v>0.7603440144610405</v>
      </c>
      <c r="F132">
        <f>'building data set'!F132</f>
        <v>0.90671223734972717</v>
      </c>
      <c r="G132">
        <f>'building data set'!G132</f>
        <v>0.53820000000000001</v>
      </c>
      <c r="H132">
        <f>'building data set'!H132</f>
        <v>2.9630000000000001</v>
      </c>
    </row>
    <row r="133" spans="1:8" x14ac:dyDescent="0.25">
      <c r="A133">
        <f>'building data set'!A133</f>
        <v>2009</v>
      </c>
      <c r="B133">
        <f>'building data set'!B133</f>
        <v>224</v>
      </c>
      <c r="C133" t="str">
        <f>'building data set'!C133</f>
        <v>Cons G</v>
      </c>
      <c r="D133" t="str">
        <f>'building data set'!D133</f>
        <v>Sr. Unsec.</v>
      </c>
      <c r="E133">
        <f>'building data set'!E133</f>
        <v>0.67943664043664931</v>
      </c>
      <c r="F133">
        <f>'building data set'!F133</f>
        <v>0.48749270151105384</v>
      </c>
      <c r="G133">
        <f>'building data set'!G133</f>
        <v>0.53820000000000001</v>
      </c>
      <c r="H133">
        <f>'building data set'!H133</f>
        <v>3.7829999999999999</v>
      </c>
    </row>
    <row r="134" spans="1:8" x14ac:dyDescent="0.25">
      <c r="A134">
        <f>'building data set'!A134</f>
        <v>2009</v>
      </c>
      <c r="B134">
        <f>'building data set'!B134</f>
        <v>224</v>
      </c>
      <c r="C134" t="str">
        <f>'building data set'!C134</f>
        <v>Cons G</v>
      </c>
      <c r="D134" t="str">
        <f>'building data set'!D134</f>
        <v>Sr. Sub.</v>
      </c>
      <c r="E134">
        <f>'building data set'!E134</f>
        <v>0.97317630173921588</v>
      </c>
      <c r="F134">
        <f>'building data set'!F134</f>
        <v>0.48749270151105384</v>
      </c>
      <c r="G134">
        <f>'building data set'!G134</f>
        <v>0.70330000000000004</v>
      </c>
      <c r="H134">
        <f>'building data set'!H134</f>
        <v>3.7829999999999999</v>
      </c>
    </row>
    <row r="135" spans="1:8" x14ac:dyDescent="0.25">
      <c r="A135">
        <f>'building data set'!A135</f>
        <v>2009</v>
      </c>
      <c r="B135">
        <f>'building data set'!B135</f>
        <v>225</v>
      </c>
      <c r="C135" t="str">
        <f>'building data set'!C135</f>
        <v>Cons G</v>
      </c>
      <c r="D135" t="str">
        <f>'building data set'!D135</f>
        <v>Sr. Sub.</v>
      </c>
      <c r="E135">
        <f>'building data set'!E135</f>
        <v>0.71267708486318593</v>
      </c>
      <c r="F135">
        <f>'building data set'!F135</f>
        <v>0.14624804611442507</v>
      </c>
      <c r="G135">
        <f>'building data set'!G135</f>
        <v>0.70330000000000004</v>
      </c>
      <c r="H135">
        <f>'building data set'!H135</f>
        <v>3.7829999999999999</v>
      </c>
    </row>
    <row r="136" spans="1:8" x14ac:dyDescent="0.25">
      <c r="A136">
        <f>'building data set'!A136</f>
        <v>2009</v>
      </c>
      <c r="B136">
        <f>'building data set'!B136</f>
        <v>226</v>
      </c>
      <c r="C136" t="str">
        <f>'building data set'!C136</f>
        <v>Media</v>
      </c>
      <c r="D136" t="str">
        <f>'building data set'!D136</f>
        <v>Sub.</v>
      </c>
      <c r="E136">
        <f>'building data set'!E136</f>
        <v>0.14318039369583135</v>
      </c>
      <c r="F136">
        <f>'building data set'!F136</f>
        <v>0.65942848023806511</v>
      </c>
      <c r="G136">
        <f>'building data set'!G136</f>
        <v>0.71150000000000002</v>
      </c>
      <c r="H136">
        <f>'building data set'!H136</f>
        <v>4.1470000000000002</v>
      </c>
    </row>
    <row r="137" spans="1:8" x14ac:dyDescent="0.25">
      <c r="A137">
        <f>'building data set'!A137</f>
        <v>2009</v>
      </c>
      <c r="B137">
        <f>'building data set'!B137</f>
        <v>227</v>
      </c>
      <c r="C137" t="str">
        <f>'building data set'!C137</f>
        <v>Media</v>
      </c>
      <c r="D137" t="str">
        <f>'building data set'!D137</f>
        <v>Sr. Unsec.</v>
      </c>
      <c r="E137">
        <f>'building data set'!E137</f>
        <v>0.63582589613199236</v>
      </c>
      <c r="F137">
        <f>'building data set'!F137</f>
        <v>0.9084018999112119</v>
      </c>
      <c r="G137">
        <f>'building data set'!G137</f>
        <v>0.53820000000000001</v>
      </c>
      <c r="H137">
        <f>'building data set'!H137</f>
        <v>4.1470000000000002</v>
      </c>
    </row>
    <row r="138" spans="1:8" x14ac:dyDescent="0.25">
      <c r="A138">
        <f>'building data set'!A138</f>
        <v>2009</v>
      </c>
      <c r="B138">
        <f>'building data set'!B138</f>
        <v>228</v>
      </c>
      <c r="C138" t="str">
        <f>'building data set'!C138</f>
        <v>Retail</v>
      </c>
      <c r="D138" t="str">
        <f>'building data set'!D138</f>
        <v>Sr. Sub.</v>
      </c>
      <c r="E138">
        <f>'building data set'!E138</f>
        <v>0.78704977840423584</v>
      </c>
      <c r="F138">
        <f>'building data set'!F138</f>
        <v>0.85230540123261012</v>
      </c>
      <c r="G138">
        <f>'building data set'!G138</f>
        <v>0.70330000000000004</v>
      </c>
      <c r="H138">
        <f>'building data set'!H138</f>
        <v>2.2469999999999999</v>
      </c>
    </row>
    <row r="139" spans="1:8" x14ac:dyDescent="0.25">
      <c r="A139">
        <f>'building data set'!A139</f>
        <v>2009</v>
      </c>
      <c r="B139">
        <f>'building data set'!B139</f>
        <v>229</v>
      </c>
      <c r="C139" t="str">
        <f>'building data set'!C139</f>
        <v>Tech</v>
      </c>
      <c r="D139" t="str">
        <f>'building data set'!D139</f>
        <v>Sr. Sec.</v>
      </c>
      <c r="E139">
        <f>'building data set'!E139</f>
        <v>0.7765679498314858</v>
      </c>
      <c r="F139">
        <f>'building data set'!F139</f>
        <v>0.91460344474019262</v>
      </c>
      <c r="G139">
        <f>'building data set'!G139</f>
        <v>0.36450000000000005</v>
      </c>
      <c r="H139">
        <f>'building data set'!H139</f>
        <v>1.1639999999999999</v>
      </c>
    </row>
    <row r="140" spans="1:8" x14ac:dyDescent="0.25">
      <c r="A140">
        <f>'building data set'!A140</f>
        <v>2009</v>
      </c>
      <c r="B140">
        <f>'building data set'!B140</f>
        <v>229</v>
      </c>
      <c r="C140" t="str">
        <f>'building data set'!C140</f>
        <v>Tech</v>
      </c>
      <c r="D140" t="str">
        <f>'building data set'!D140</f>
        <v>Sr. Sub.</v>
      </c>
      <c r="E140">
        <f>'building data set'!E140</f>
        <v>0.99</v>
      </c>
      <c r="F140">
        <f>'building data set'!F140</f>
        <v>0.91460344474019262</v>
      </c>
      <c r="G140">
        <f>'building data set'!G140</f>
        <v>0.70330000000000004</v>
      </c>
      <c r="H140">
        <f>'building data set'!H140</f>
        <v>1.1639999999999999</v>
      </c>
    </row>
    <row r="141" spans="1:8" x14ac:dyDescent="0.25">
      <c r="A141">
        <f>'building data set'!A141</f>
        <v>2009</v>
      </c>
      <c r="B141">
        <f>'building data set'!B141</f>
        <v>231</v>
      </c>
      <c r="C141" t="str">
        <f>'building data set'!C141</f>
        <v>Retail</v>
      </c>
      <c r="D141" t="str">
        <f>'building data set'!D141</f>
        <v>Sr. Unsec.</v>
      </c>
      <c r="E141">
        <f>'building data set'!E141</f>
        <v>0.91575934574604034</v>
      </c>
      <c r="F141">
        <f>'building data set'!F141</f>
        <v>0.71125897652776715</v>
      </c>
      <c r="G141">
        <f>'building data set'!G141</f>
        <v>0.53820000000000001</v>
      </c>
      <c r="H141">
        <f>'building data set'!H141</f>
        <v>2.2469999999999999</v>
      </c>
    </row>
    <row r="142" spans="1:8" x14ac:dyDescent="0.25">
      <c r="A142">
        <f>'building data set'!A142</f>
        <v>2009</v>
      </c>
      <c r="B142">
        <f>'building data set'!B142</f>
        <v>233</v>
      </c>
      <c r="C142" t="str">
        <f>'building data set'!C142</f>
        <v>Retail</v>
      </c>
      <c r="D142" t="str">
        <f>'building data set'!D142</f>
        <v>Sr. Unsec.</v>
      </c>
      <c r="E142">
        <f>'building data set'!E142</f>
        <v>0.86651436722278596</v>
      </c>
      <c r="F142">
        <f>'building data set'!F142</f>
        <v>0.48226603827242837</v>
      </c>
      <c r="G142">
        <f>'building data set'!G142</f>
        <v>0.53820000000000001</v>
      </c>
      <c r="H142">
        <f>'building data set'!H142</f>
        <v>2.2469999999999999</v>
      </c>
    </row>
    <row r="143" spans="1:8" x14ac:dyDescent="0.25">
      <c r="A143">
        <f>'building data set'!A143</f>
        <v>2009</v>
      </c>
      <c r="B143">
        <f>'building data set'!B143</f>
        <v>235</v>
      </c>
      <c r="C143" t="str">
        <f>'building data set'!C143</f>
        <v>Transp</v>
      </c>
      <c r="D143" t="str">
        <f>'building data set'!D143</f>
        <v>Sr. Unsec.</v>
      </c>
      <c r="E143">
        <f>'building data set'!E143</f>
        <v>0.23971494150161743</v>
      </c>
      <c r="F143">
        <f>'building data set'!F143</f>
        <v>0.75</v>
      </c>
      <c r="G143">
        <f>'building data set'!G143</f>
        <v>0.53820000000000001</v>
      </c>
      <c r="H143">
        <f>'building data set'!H143</f>
        <v>2.9630000000000001</v>
      </c>
    </row>
    <row r="144" spans="1:8" x14ac:dyDescent="0.25">
      <c r="A144">
        <f>'building data set'!A144</f>
        <v>2009</v>
      </c>
      <c r="B144">
        <f>'building data set'!B144</f>
        <v>237</v>
      </c>
      <c r="C144" t="str">
        <f>'building data set'!C144</f>
        <v>Cons G</v>
      </c>
      <c r="D144" t="str">
        <f>'building data set'!D144</f>
        <v>Sr. Unsec.</v>
      </c>
      <c r="E144">
        <f>'building data set'!E144</f>
        <v>0.92369942393302917</v>
      </c>
      <c r="F144">
        <f>'building data set'!F144</f>
        <v>0.54253303055644531</v>
      </c>
      <c r="G144">
        <f>'building data set'!G144</f>
        <v>0.53820000000000001</v>
      </c>
      <c r="H144">
        <f>'building data set'!H144</f>
        <v>3.7829999999999999</v>
      </c>
    </row>
    <row r="145" spans="1:8" x14ac:dyDescent="0.25">
      <c r="A145">
        <f>'building data set'!A145</f>
        <v>2009</v>
      </c>
      <c r="B145">
        <f>'building data set'!B145</f>
        <v>237</v>
      </c>
      <c r="C145" t="str">
        <f>'building data set'!C145</f>
        <v>Cons G</v>
      </c>
      <c r="D145" t="str">
        <f>'building data set'!D145</f>
        <v>Sr. Sub.</v>
      </c>
      <c r="E145">
        <f>'building data set'!E145</f>
        <v>0.85660303068161014</v>
      </c>
      <c r="F145">
        <f>'building data set'!F145</f>
        <v>0.54253303055644531</v>
      </c>
      <c r="G145">
        <f>'building data set'!G145</f>
        <v>0.70330000000000004</v>
      </c>
      <c r="H145">
        <f>'building data set'!H145</f>
        <v>3.7829999999999999</v>
      </c>
    </row>
    <row r="146" spans="1:8" x14ac:dyDescent="0.25">
      <c r="A146">
        <f>'building data set'!A146</f>
        <v>2009</v>
      </c>
      <c r="B146">
        <f>'building data set'!B146</f>
        <v>238</v>
      </c>
      <c r="C146" t="str">
        <f>'building data set'!C146</f>
        <v>Cons G</v>
      </c>
      <c r="D146" t="str">
        <f>'building data set'!D146</f>
        <v>Sr. Unsec.</v>
      </c>
      <c r="E146">
        <f>'building data set'!E146</f>
        <v>0.64501694575607771</v>
      </c>
      <c r="F146">
        <f>'building data set'!F146</f>
        <v>0.90061381188712963</v>
      </c>
      <c r="G146">
        <f>'building data set'!G146</f>
        <v>0.53820000000000001</v>
      </c>
      <c r="H146">
        <f>'building data set'!H146</f>
        <v>3.7829999999999999</v>
      </c>
    </row>
    <row r="147" spans="1:8" x14ac:dyDescent="0.25">
      <c r="A147">
        <f>'building data set'!A147</f>
        <v>2009</v>
      </c>
      <c r="B147">
        <f>'building data set'!B147</f>
        <v>238</v>
      </c>
      <c r="C147" t="str">
        <f>'building data set'!C147</f>
        <v>Cons G</v>
      </c>
      <c r="D147" t="str">
        <f>'building data set'!D147</f>
        <v>Sr. Sub.</v>
      </c>
      <c r="E147">
        <f>'building data set'!E147</f>
        <v>0.85198099500536917</v>
      </c>
      <c r="F147">
        <f>'building data set'!F147</f>
        <v>0.90061381188712963</v>
      </c>
      <c r="G147">
        <f>'building data set'!G147</f>
        <v>0.70330000000000004</v>
      </c>
      <c r="H147">
        <f>'building data set'!H147</f>
        <v>3.7829999999999999</v>
      </c>
    </row>
    <row r="148" spans="1:8" x14ac:dyDescent="0.25">
      <c r="A148">
        <f>'building data set'!A148</f>
        <v>2009</v>
      </c>
      <c r="B148">
        <f>'building data set'!B148</f>
        <v>239</v>
      </c>
      <c r="C148" t="str">
        <f>'building data set'!C148</f>
        <v>Media</v>
      </c>
      <c r="D148" t="str">
        <f>'building data set'!D148</f>
        <v>Sr. Unsec.</v>
      </c>
      <c r="E148">
        <f>'building data set'!E148</f>
        <v>0.85134155973196024</v>
      </c>
      <c r="F148">
        <f>'building data set'!F148</f>
        <v>0.66589883362911173</v>
      </c>
      <c r="G148">
        <f>'building data set'!G148</f>
        <v>0.53820000000000001</v>
      </c>
      <c r="H148">
        <f>'building data set'!H148</f>
        <v>4.1470000000000002</v>
      </c>
    </row>
    <row r="149" spans="1:8" x14ac:dyDescent="0.25">
      <c r="A149">
        <f>'building data set'!A149</f>
        <v>2009</v>
      </c>
      <c r="B149">
        <f>'building data set'!B149</f>
        <v>240</v>
      </c>
      <c r="C149" t="str">
        <f>'building data set'!C149</f>
        <v>Media</v>
      </c>
      <c r="D149" t="str">
        <f>'building data set'!D149</f>
        <v>Sr. Unsec.</v>
      </c>
      <c r="E149">
        <f>'building data set'!E149</f>
        <v>0.51029405100047587</v>
      </c>
      <c r="F149">
        <f>'building data set'!F149</f>
        <v>0.65847385618987841</v>
      </c>
      <c r="G149">
        <f>'building data set'!G149</f>
        <v>0.53820000000000001</v>
      </c>
      <c r="H149">
        <f>'building data set'!H149</f>
        <v>4.1470000000000002</v>
      </c>
    </row>
    <row r="150" spans="1:8" x14ac:dyDescent="0.25">
      <c r="A150">
        <f>'building data set'!A150</f>
        <v>2009</v>
      </c>
      <c r="B150">
        <f>'building data set'!B150</f>
        <v>242</v>
      </c>
      <c r="C150" t="str">
        <f>'building data set'!C150</f>
        <v>Tech</v>
      </c>
      <c r="D150" t="str">
        <f>'building data set'!D150</f>
        <v>Sr. Unsec.</v>
      </c>
      <c r="E150">
        <f>'building data set'!E150</f>
        <v>8.862982541322717E-2</v>
      </c>
      <c r="F150">
        <f>'building data set'!F150</f>
        <v>0.73895423074298539</v>
      </c>
      <c r="G150">
        <f>'building data set'!G150</f>
        <v>0.53820000000000001</v>
      </c>
      <c r="H150">
        <f>'building data set'!H150</f>
        <v>1.1639999999999999</v>
      </c>
    </row>
    <row r="151" spans="1:8" x14ac:dyDescent="0.25">
      <c r="A151">
        <f>'building data set'!A151</f>
        <v>2009</v>
      </c>
      <c r="B151">
        <f>'building data set'!B151</f>
        <v>246</v>
      </c>
      <c r="C151" t="str">
        <f>'building data set'!C151</f>
        <v>Retail</v>
      </c>
      <c r="D151" t="str">
        <f>'building data set'!D151</f>
        <v>Sr. Unsec.</v>
      </c>
      <c r="E151">
        <f>'building data set'!E151</f>
        <v>0.49263186832070349</v>
      </c>
      <c r="F151">
        <f>'building data set'!F151</f>
        <v>0.25038502386258227</v>
      </c>
      <c r="G151">
        <f>'building data set'!G151</f>
        <v>0.53820000000000001</v>
      </c>
      <c r="H151">
        <f>'building data set'!H151</f>
        <v>2.2469999999999999</v>
      </c>
    </row>
    <row r="152" spans="1:8" x14ac:dyDescent="0.25">
      <c r="A152">
        <f>'building data set'!A152</f>
        <v>2009</v>
      </c>
      <c r="B152">
        <f>'building data set'!B152</f>
        <v>247</v>
      </c>
      <c r="C152" t="str">
        <f>'building data set'!C152</f>
        <v>Tech</v>
      </c>
      <c r="D152" t="str">
        <f>'building data set'!D152</f>
        <v>Sr. Unsec.</v>
      </c>
      <c r="E152">
        <f>'building data set'!E152</f>
        <v>0.35819228177070617</v>
      </c>
      <c r="F152">
        <f>'building data set'!F152</f>
        <v>0.44450365524890256</v>
      </c>
      <c r="G152">
        <f>'building data set'!G152</f>
        <v>0.53820000000000001</v>
      </c>
      <c r="H152">
        <f>'building data set'!H152</f>
        <v>1.1639999999999999</v>
      </c>
    </row>
    <row r="153" spans="1:8" x14ac:dyDescent="0.25">
      <c r="A153">
        <f>'building data set'!A153</f>
        <v>2009</v>
      </c>
      <c r="B153">
        <f>'building data set'!B153</f>
        <v>249</v>
      </c>
      <c r="C153" t="str">
        <f>'building data set'!C153</f>
        <v>Retail</v>
      </c>
      <c r="D153" t="str">
        <f>'building data set'!D153</f>
        <v>Sr. Sub.</v>
      </c>
      <c r="E153">
        <f>'building data set'!E153</f>
        <v>0.97717274736881254</v>
      </c>
      <c r="F153">
        <f>'building data set'!F153</f>
        <v>0.673614494924342</v>
      </c>
      <c r="G153">
        <f>'building data set'!G153</f>
        <v>0.70330000000000004</v>
      </c>
      <c r="H153">
        <f>'building data set'!H153</f>
        <v>2.2469999999999999</v>
      </c>
    </row>
    <row r="154" spans="1:8" x14ac:dyDescent="0.25">
      <c r="A154">
        <f>'building data set'!A154</f>
        <v>2009</v>
      </c>
      <c r="B154">
        <f>'building data set'!B154</f>
        <v>250</v>
      </c>
      <c r="C154" t="str">
        <f>'building data set'!C154</f>
        <v>Cons G</v>
      </c>
      <c r="D154" t="str">
        <f>'building data set'!D154</f>
        <v>Sr. Unsec.</v>
      </c>
      <c r="E154">
        <f>'building data set'!E154</f>
        <v>0.32371388404965407</v>
      </c>
      <c r="F154">
        <f>'building data set'!F154</f>
        <v>0.43904864695045831</v>
      </c>
      <c r="G154">
        <f>'building data set'!G154</f>
        <v>0.53820000000000001</v>
      </c>
      <c r="H154">
        <f>'building data set'!H154</f>
        <v>3.7829999999999999</v>
      </c>
    </row>
    <row r="155" spans="1:8" x14ac:dyDescent="0.25">
      <c r="A155">
        <f>'building data set'!A155</f>
        <v>2009</v>
      </c>
      <c r="B155">
        <f>'building data set'!B155</f>
        <v>251</v>
      </c>
      <c r="C155" t="str">
        <f>'building data set'!C155</f>
        <v>Cons G</v>
      </c>
      <c r="D155" t="str">
        <f>'building data set'!D155</f>
        <v>Sr. Unsec.</v>
      </c>
      <c r="E155">
        <f>'building data set'!E155</f>
        <v>0.66207795114219192</v>
      </c>
      <c r="F155">
        <f>'building data set'!F155</f>
        <v>0.35942784034876663</v>
      </c>
      <c r="G155">
        <f>'building data set'!G155</f>
        <v>0.53820000000000001</v>
      </c>
      <c r="H155">
        <f>'building data set'!H155</f>
        <v>3.7829999999999999</v>
      </c>
    </row>
    <row r="156" spans="1:8" x14ac:dyDescent="0.25">
      <c r="A156">
        <f>'building data set'!A156</f>
        <v>2009</v>
      </c>
      <c r="B156">
        <f>'building data set'!B156</f>
        <v>252</v>
      </c>
      <c r="C156" t="str">
        <f>'building data set'!C156</f>
        <v>Media</v>
      </c>
      <c r="D156" t="str">
        <f>'building data set'!D156</f>
        <v>Sr. Unsec.</v>
      </c>
      <c r="E156">
        <f>'building data set'!E156</f>
        <v>0.95300739255666733</v>
      </c>
      <c r="F156">
        <f>'building data set'!F156</f>
        <v>0.24697151025476613</v>
      </c>
      <c r="G156">
        <f>'building data set'!G156</f>
        <v>0.53820000000000001</v>
      </c>
      <c r="H156">
        <f>'building data set'!H156</f>
        <v>4.1470000000000002</v>
      </c>
    </row>
    <row r="157" spans="1:8" x14ac:dyDescent="0.25">
      <c r="A157">
        <f>'building data set'!A157</f>
        <v>2009</v>
      </c>
      <c r="B157">
        <f>'building data set'!B157</f>
        <v>254</v>
      </c>
      <c r="C157" t="str">
        <f>'building data set'!C157</f>
        <v>Retail</v>
      </c>
      <c r="D157" t="str">
        <f>'building data set'!D157</f>
        <v>Sub.</v>
      </c>
      <c r="E157">
        <f>'building data set'!E157</f>
        <v>0.19007125760018828</v>
      </c>
      <c r="F157">
        <f>'building data set'!F157</f>
        <v>0.21715760377228188</v>
      </c>
      <c r="G157">
        <f>'building data set'!G157</f>
        <v>0.71150000000000002</v>
      </c>
      <c r="H157">
        <f>'building data set'!H157</f>
        <v>2.2469999999999999</v>
      </c>
    </row>
    <row r="158" spans="1:8" x14ac:dyDescent="0.25">
      <c r="A158">
        <f>'building data set'!A158</f>
        <v>2009</v>
      </c>
      <c r="B158">
        <f>'building data set'!B158</f>
        <v>255</v>
      </c>
      <c r="C158" t="str">
        <f>'building data set'!C158</f>
        <v>Tech</v>
      </c>
      <c r="D158" t="str">
        <f>'building data set'!D158</f>
        <v>Sr. Sub.</v>
      </c>
      <c r="E158">
        <f>'building data set'!E158</f>
        <v>0.36671762282848364</v>
      </c>
      <c r="F158">
        <f>'building data set'!F158</f>
        <v>0.40926759385623701</v>
      </c>
      <c r="G158">
        <f>'building data set'!G158</f>
        <v>0.70330000000000004</v>
      </c>
      <c r="H158">
        <f>'building data set'!H158</f>
        <v>1.1639999999999999</v>
      </c>
    </row>
    <row r="159" spans="1:8" x14ac:dyDescent="0.25">
      <c r="A159">
        <f>'building data set'!A159</f>
        <v>2009</v>
      </c>
      <c r="B159">
        <f>'building data set'!B159</f>
        <v>256</v>
      </c>
      <c r="C159" t="str">
        <f>'building data set'!C159</f>
        <v>Transp</v>
      </c>
      <c r="D159" t="str">
        <f>'building data set'!D159</f>
        <v>Sr. Unsec.</v>
      </c>
      <c r="E159">
        <f>'building data set'!E159</f>
        <v>0.94242872112989429</v>
      </c>
      <c r="F159">
        <f>'building data set'!F159</f>
        <v>0.2678318466214501</v>
      </c>
      <c r="G159">
        <f>'building data set'!G159</f>
        <v>0.53820000000000001</v>
      </c>
      <c r="H159">
        <f>'building data set'!H159</f>
        <v>2.9630000000000001</v>
      </c>
    </row>
    <row r="160" spans="1:8" x14ac:dyDescent="0.25">
      <c r="A160">
        <f>'building data set'!A160</f>
        <v>2009</v>
      </c>
      <c r="B160">
        <f>'building data set'!B160</f>
        <v>257</v>
      </c>
      <c r="C160" t="str">
        <f>'building data set'!C160</f>
        <v>Retail</v>
      </c>
      <c r="D160" t="str">
        <f>'building data set'!D160</f>
        <v>Sr. Unsec.</v>
      </c>
      <c r="E160">
        <f>'building data set'!E160</f>
        <v>0.95046839225769042</v>
      </c>
      <c r="F160">
        <f>'building data set'!F160</f>
        <v>0.4172269043748118</v>
      </c>
      <c r="G160">
        <f>'building data set'!G160</f>
        <v>0.53820000000000001</v>
      </c>
      <c r="H160">
        <f>'building data set'!H160</f>
        <v>2.2469999999999999</v>
      </c>
    </row>
    <row r="161" spans="1:8" x14ac:dyDescent="0.25">
      <c r="A161">
        <f>'building data set'!A161</f>
        <v>2009</v>
      </c>
      <c r="B161">
        <f>'building data set'!B161</f>
        <v>258</v>
      </c>
      <c r="C161" t="str">
        <f>'building data set'!C161</f>
        <v>Media</v>
      </c>
      <c r="D161" t="str">
        <f>'building data set'!D161</f>
        <v>Sr. Sub.</v>
      </c>
      <c r="E161">
        <f>'building data set'!E161</f>
        <v>0.76547121615111835</v>
      </c>
      <c r="F161">
        <f>'building data set'!F161</f>
        <v>0.59756763570141114</v>
      </c>
      <c r="G161">
        <f>'building data set'!G161</f>
        <v>0.70330000000000004</v>
      </c>
      <c r="H161">
        <f>'building data set'!H161</f>
        <v>4.1470000000000002</v>
      </c>
    </row>
    <row r="162" spans="1:8" x14ac:dyDescent="0.25">
      <c r="A162">
        <f>'building data set'!A162</f>
        <v>2009</v>
      </c>
      <c r="B162">
        <f>'building data set'!B162</f>
        <v>259</v>
      </c>
      <c r="C162" t="str">
        <f>'building data set'!C162</f>
        <v>Retail</v>
      </c>
      <c r="D162" t="str">
        <f>'building data set'!D162</f>
        <v>Sr. Sec.</v>
      </c>
      <c r="E162">
        <f>'building data set'!E162</f>
        <v>0.7960560518431663</v>
      </c>
      <c r="F162">
        <f>'building data set'!F162</f>
        <v>0.70146026990053167</v>
      </c>
      <c r="G162">
        <f>'building data set'!G162</f>
        <v>0.36450000000000005</v>
      </c>
      <c r="H162">
        <f>'building data set'!H162</f>
        <v>2.2469999999999999</v>
      </c>
    </row>
    <row r="163" spans="1:8" x14ac:dyDescent="0.25">
      <c r="A163">
        <f>'building data set'!A163</f>
        <v>2009</v>
      </c>
      <c r="B163">
        <f>'building data set'!B163</f>
        <v>261</v>
      </c>
      <c r="C163" t="str">
        <f>'building data set'!C163</f>
        <v>Transp</v>
      </c>
      <c r="D163" t="str">
        <f>'building data set'!D163</f>
        <v>Sr. Sub.</v>
      </c>
      <c r="E163">
        <f>'building data set'!E163</f>
        <v>0.95242508366703982</v>
      </c>
      <c r="F163">
        <f>'building data set'!F163</f>
        <v>0.98756027950686076</v>
      </c>
      <c r="G163">
        <f>'building data set'!G163</f>
        <v>0.70330000000000004</v>
      </c>
      <c r="H163">
        <f>'building data set'!H163</f>
        <v>2.9630000000000001</v>
      </c>
    </row>
    <row r="164" spans="1:8" x14ac:dyDescent="0.25">
      <c r="A164">
        <f>'building data set'!A164</f>
        <v>2009</v>
      </c>
      <c r="B164">
        <f>'building data set'!B164</f>
        <v>262</v>
      </c>
      <c r="C164" t="str">
        <f>'building data set'!C164</f>
        <v>Retail</v>
      </c>
      <c r="D164" t="str">
        <f>'building data set'!D164</f>
        <v>Sr. Sec.</v>
      </c>
      <c r="E164">
        <f>'building data set'!E164</f>
        <v>0.26890961222171783</v>
      </c>
      <c r="F164">
        <f>'building data set'!F164</f>
        <v>0.29899922052295735</v>
      </c>
      <c r="G164">
        <f>'building data set'!G164</f>
        <v>0.36450000000000005</v>
      </c>
      <c r="H164">
        <f>'building data set'!H164</f>
        <v>2.2469999999999999</v>
      </c>
    </row>
    <row r="165" spans="1:8" x14ac:dyDescent="0.25">
      <c r="A165">
        <f>'building data set'!A165</f>
        <v>2009</v>
      </c>
      <c r="B165">
        <f>'building data set'!B165</f>
        <v>263</v>
      </c>
      <c r="C165" t="str">
        <f>'building data set'!C165</f>
        <v>Cons G</v>
      </c>
      <c r="D165" t="str">
        <f>'building data set'!D165</f>
        <v>Sr. Unsec.</v>
      </c>
      <c r="E165">
        <f>'building data set'!E165</f>
        <v>0.71268552166223531</v>
      </c>
      <c r="F165">
        <f>'building data set'!F165</f>
        <v>0.59068313439824016</v>
      </c>
      <c r="G165">
        <f>'building data set'!G165</f>
        <v>0.53820000000000001</v>
      </c>
      <c r="H165">
        <f>'building data set'!H165</f>
        <v>3.7829999999999999</v>
      </c>
    </row>
    <row r="166" spans="1:8" x14ac:dyDescent="0.25">
      <c r="A166">
        <f>'building data set'!A166</f>
        <v>2009</v>
      </c>
      <c r="B166">
        <f>'building data set'!B166</f>
        <v>264</v>
      </c>
      <c r="C166" t="str">
        <f>'building data set'!C166</f>
        <v>Cons G</v>
      </c>
      <c r="D166" t="str">
        <f>'building data set'!D166</f>
        <v>Sr. Unsec.</v>
      </c>
      <c r="E166">
        <f>'building data set'!E166</f>
        <v>0.95202806037664411</v>
      </c>
      <c r="F166">
        <f>'building data set'!F166</f>
        <v>0.80162848822914079</v>
      </c>
      <c r="G166">
        <f>'building data set'!G166</f>
        <v>0.53820000000000001</v>
      </c>
      <c r="H166">
        <f>'building data set'!H166</f>
        <v>3.7829999999999999</v>
      </c>
    </row>
    <row r="167" spans="1:8" x14ac:dyDescent="0.25">
      <c r="A167">
        <f>'building data set'!A167</f>
        <v>2009</v>
      </c>
      <c r="B167">
        <f>'building data set'!B167</f>
        <v>265</v>
      </c>
      <c r="C167" t="str">
        <f>'building data set'!C167</f>
        <v>Media</v>
      </c>
      <c r="D167" t="str">
        <f>'building data set'!D167</f>
        <v>Sr. Sec.</v>
      </c>
      <c r="E167">
        <f>'building data set'!E167</f>
        <v>0.70312559947967523</v>
      </c>
      <c r="F167">
        <f>'building data set'!F167</f>
        <v>0.73723254419325734</v>
      </c>
      <c r="G167">
        <f>'building data set'!G167</f>
        <v>0.36450000000000005</v>
      </c>
      <c r="H167">
        <f>'building data set'!H167</f>
        <v>4.1470000000000002</v>
      </c>
    </row>
    <row r="168" spans="1:8" x14ac:dyDescent="0.25">
      <c r="A168">
        <f>'building data set'!A168</f>
        <v>2009</v>
      </c>
      <c r="B168">
        <f>'building data set'!B168</f>
        <v>265</v>
      </c>
      <c r="C168" t="str">
        <f>'building data set'!C168</f>
        <v>Media</v>
      </c>
      <c r="D168" t="str">
        <f>'building data set'!D168</f>
        <v>Sr. Unsec.</v>
      </c>
      <c r="E168">
        <f>'building data set'!E168</f>
        <v>0.77991677657961844</v>
      </c>
      <c r="F168">
        <f>'building data set'!F168</f>
        <v>0.73723254419325734</v>
      </c>
      <c r="G168">
        <f>'building data set'!G168</f>
        <v>0.53820000000000001</v>
      </c>
      <c r="H168">
        <f>'building data set'!H168</f>
        <v>4.1470000000000002</v>
      </c>
    </row>
    <row r="169" spans="1:8" x14ac:dyDescent="0.25">
      <c r="A169">
        <f>'building data set'!A169</f>
        <v>2009</v>
      </c>
      <c r="B169">
        <f>'building data set'!B169</f>
        <v>268</v>
      </c>
      <c r="C169" t="str">
        <f>'building data set'!C169</f>
        <v>Transp</v>
      </c>
      <c r="D169" t="str">
        <f>'building data set'!D169</f>
        <v>Sr. Unsec.</v>
      </c>
      <c r="E169">
        <f>'building data set'!E169</f>
        <v>0.86799467037558553</v>
      </c>
      <c r="F169">
        <f>'building data set'!F169</f>
        <v>0.20755952822252047</v>
      </c>
      <c r="G169">
        <f>'building data set'!G169</f>
        <v>0.53820000000000001</v>
      </c>
      <c r="H169">
        <f>'building data set'!H169</f>
        <v>2.9630000000000001</v>
      </c>
    </row>
    <row r="170" spans="1:8" x14ac:dyDescent="0.25">
      <c r="A170">
        <f>'building data set'!A170</f>
        <v>2009</v>
      </c>
      <c r="B170">
        <f>'building data set'!B170</f>
        <v>269</v>
      </c>
      <c r="C170" t="str">
        <f>'building data set'!C170</f>
        <v>Retail</v>
      </c>
      <c r="D170" t="str">
        <f>'building data set'!D170</f>
        <v>Sr. Unsec.</v>
      </c>
      <c r="E170">
        <f>'building data set'!E170</f>
        <v>0.8421996424257755</v>
      </c>
      <c r="F170">
        <f>'building data set'!F170</f>
        <v>0.26449665013351131</v>
      </c>
      <c r="G170">
        <f>'building data set'!G170</f>
        <v>0.53820000000000001</v>
      </c>
      <c r="H170">
        <f>'building data set'!H170</f>
        <v>2.2469999999999999</v>
      </c>
    </row>
    <row r="171" spans="1:8" x14ac:dyDescent="0.25">
      <c r="A171">
        <f>'building data set'!A171</f>
        <v>2009</v>
      </c>
      <c r="B171">
        <f>'building data set'!B171</f>
        <v>270</v>
      </c>
      <c r="C171" t="str">
        <f>'building data set'!C171</f>
        <v>Media</v>
      </c>
      <c r="D171" t="str">
        <f>'building data set'!D171</f>
        <v>Sr. Sec.</v>
      </c>
      <c r="E171">
        <f>'building data set'!E171</f>
        <v>3.6812083983421395E-2</v>
      </c>
      <c r="F171">
        <f>'building data set'!F171</f>
        <v>0.38179100618990275</v>
      </c>
      <c r="G171">
        <f>'building data set'!G171</f>
        <v>0.36450000000000005</v>
      </c>
      <c r="H171">
        <f>'building data set'!H171</f>
        <v>4.1470000000000002</v>
      </c>
    </row>
    <row r="172" spans="1:8" x14ac:dyDescent="0.25">
      <c r="A172">
        <f>'building data set'!A172</f>
        <v>2009</v>
      </c>
      <c r="B172">
        <f>'building data set'!B172</f>
        <v>270</v>
      </c>
      <c r="C172" t="str">
        <f>'building data set'!C172</f>
        <v>Media</v>
      </c>
      <c r="D172" t="str">
        <f>'building data set'!D172</f>
        <v>Sr. Sub.</v>
      </c>
      <c r="E172">
        <f>'building data set'!E172</f>
        <v>0.3598488928496838</v>
      </c>
      <c r="F172">
        <f>'building data set'!F172</f>
        <v>0.38179100618990275</v>
      </c>
      <c r="G172">
        <f>'building data set'!G172</f>
        <v>0.70330000000000004</v>
      </c>
      <c r="H172">
        <f>'building data set'!H172</f>
        <v>4.1470000000000002</v>
      </c>
    </row>
    <row r="173" spans="1:8" x14ac:dyDescent="0.25">
      <c r="A173">
        <f>'building data set'!A173</f>
        <v>2009</v>
      </c>
      <c r="B173">
        <f>'building data set'!B173</f>
        <v>271</v>
      </c>
      <c r="C173" t="str">
        <f>'building data set'!C173</f>
        <v>Cap Ind</v>
      </c>
      <c r="D173" t="str">
        <f>'building data set'!D173</f>
        <v>Sr. Unsec.</v>
      </c>
      <c r="E173">
        <f>'building data set'!E173</f>
        <v>0.8537117346781492</v>
      </c>
      <c r="F173">
        <f>'building data set'!F173</f>
        <v>0.34853039017747545</v>
      </c>
      <c r="G173">
        <f>'building data set'!G173</f>
        <v>0.53820000000000001</v>
      </c>
      <c r="H173">
        <f>'building data set'!H173</f>
        <v>3.0710000000000002</v>
      </c>
    </row>
    <row r="174" spans="1:8" x14ac:dyDescent="0.25">
      <c r="A174">
        <f>'building data set'!A174</f>
        <v>2009</v>
      </c>
      <c r="B174">
        <f>'building data set'!B174</f>
        <v>272</v>
      </c>
      <c r="C174" t="str">
        <f>'building data set'!C174</f>
        <v>Tech</v>
      </c>
      <c r="D174" t="str">
        <f>'building data set'!D174</f>
        <v>Sr. Unsec.</v>
      </c>
      <c r="E174">
        <f>'building data set'!E174</f>
        <v>0.75894079088091848</v>
      </c>
      <c r="F174">
        <f>'building data set'!F174</f>
        <v>0.77722243634209653</v>
      </c>
      <c r="G174">
        <f>'building data set'!G174</f>
        <v>0.53820000000000001</v>
      </c>
      <c r="H174">
        <f>'building data set'!H174</f>
        <v>1.1639999999999999</v>
      </c>
    </row>
    <row r="175" spans="1:8" x14ac:dyDescent="0.25">
      <c r="A175">
        <f>'building data set'!A175</f>
        <v>2009</v>
      </c>
      <c r="B175">
        <f>'building data set'!B175</f>
        <v>274</v>
      </c>
      <c r="C175" t="str">
        <f>'building data set'!C175</f>
        <v>Retail</v>
      </c>
      <c r="D175" t="str">
        <f>'building data set'!D175</f>
        <v>Sr. Sub.</v>
      </c>
      <c r="E175">
        <f>'building data set'!E175</f>
        <v>0.63494362397372717</v>
      </c>
      <c r="F175">
        <f>'building data set'!F175</f>
        <v>0.28609619222429172</v>
      </c>
      <c r="G175">
        <f>'building data set'!G175</f>
        <v>0.70330000000000004</v>
      </c>
      <c r="H175">
        <f>'building data set'!H175</f>
        <v>2.2469999999999999</v>
      </c>
    </row>
    <row r="176" spans="1:8" x14ac:dyDescent="0.25">
      <c r="A176">
        <f>'building data set'!A176</f>
        <v>2009</v>
      </c>
      <c r="B176">
        <f>'building data set'!B176</f>
        <v>276</v>
      </c>
      <c r="C176" t="str">
        <f>'building data set'!C176</f>
        <v>Cons G</v>
      </c>
      <c r="D176" t="str">
        <f>'building data set'!D176</f>
        <v>Sr. Sub.</v>
      </c>
      <c r="E176">
        <f>'building data set'!E176</f>
        <v>0.99</v>
      </c>
      <c r="F176">
        <f>'building data set'!F176</f>
        <v>0.56158195382652365</v>
      </c>
      <c r="G176">
        <f>'building data set'!G176</f>
        <v>0.70330000000000004</v>
      </c>
      <c r="H176">
        <f>'building data set'!H176</f>
        <v>3.7829999999999999</v>
      </c>
    </row>
    <row r="177" spans="1:8" x14ac:dyDescent="0.25">
      <c r="A177">
        <f>'building data set'!A177</f>
        <v>2009</v>
      </c>
      <c r="B177">
        <f>'building data set'!B177</f>
        <v>278</v>
      </c>
      <c r="C177" t="str">
        <f>'building data set'!C177</f>
        <v>Media</v>
      </c>
      <c r="D177" t="str">
        <f>'building data set'!D177</f>
        <v>Sr. Unsec.</v>
      </c>
      <c r="E177">
        <f>'building data set'!E177</f>
        <v>0.39764406023621568</v>
      </c>
      <c r="F177">
        <f>'building data set'!F177</f>
        <v>0.57448477540757747</v>
      </c>
      <c r="G177">
        <f>'building data set'!G177</f>
        <v>0.53820000000000001</v>
      </c>
      <c r="H177">
        <f>'building data set'!H177</f>
        <v>4.1470000000000002</v>
      </c>
    </row>
    <row r="178" spans="1:8" x14ac:dyDescent="0.25">
      <c r="A178">
        <f>'building data set'!A178</f>
        <v>2009</v>
      </c>
      <c r="B178">
        <f>'building data set'!B178</f>
        <v>280</v>
      </c>
      <c r="C178" t="str">
        <f>'building data set'!C178</f>
        <v>Tech</v>
      </c>
      <c r="D178" t="str">
        <f>'building data set'!D178</f>
        <v>Sr. Unsec.</v>
      </c>
      <c r="E178">
        <f>'building data set'!E178</f>
        <v>0.44687385060191165</v>
      </c>
      <c r="F178">
        <f>'building data set'!F178</f>
        <v>0.4209525319634887</v>
      </c>
      <c r="G178">
        <f>'building data set'!G178</f>
        <v>0.53820000000000001</v>
      </c>
      <c r="H178">
        <f>'building data set'!H178</f>
        <v>1.1639999999999999</v>
      </c>
    </row>
    <row r="179" spans="1:8" x14ac:dyDescent="0.25">
      <c r="A179">
        <f>'building data set'!A179</f>
        <v>2009</v>
      </c>
      <c r="B179">
        <f>'building data set'!B179</f>
        <v>281</v>
      </c>
      <c r="C179" t="str">
        <f>'building data set'!C179</f>
        <v>Transp</v>
      </c>
      <c r="D179" t="str">
        <f>'building data set'!D179</f>
        <v>Sr. Unsec.</v>
      </c>
      <c r="E179">
        <f>'building data set'!E179</f>
        <v>0.63421568502485748</v>
      </c>
      <c r="F179">
        <f>'building data set'!F179</f>
        <v>0.72110379815238079</v>
      </c>
      <c r="G179">
        <f>'building data set'!G179</f>
        <v>0.53820000000000001</v>
      </c>
      <c r="H179">
        <f>'building data set'!H179</f>
        <v>2.9630000000000001</v>
      </c>
    </row>
    <row r="180" spans="1:8" x14ac:dyDescent="0.25">
      <c r="A180">
        <f>'building data set'!A180</f>
        <v>2009</v>
      </c>
      <c r="B180">
        <f>'building data set'!B180</f>
        <v>282</v>
      </c>
      <c r="C180" t="str">
        <f>'building data set'!C180</f>
        <v>Retail</v>
      </c>
      <c r="D180" t="str">
        <f>'building data set'!D180</f>
        <v>Sr. Unsec.</v>
      </c>
      <c r="E180">
        <f>'building data set'!E180</f>
        <v>0.52271793007850653</v>
      </c>
      <c r="F180">
        <f>'building data set'!F180</f>
        <v>0.50755831472175283</v>
      </c>
      <c r="G180">
        <f>'building data set'!G180</f>
        <v>0.53820000000000001</v>
      </c>
      <c r="H180">
        <f>'building data set'!H180</f>
        <v>2.2469999999999999</v>
      </c>
    </row>
    <row r="181" spans="1:8" x14ac:dyDescent="0.25">
      <c r="A181">
        <f>'building data set'!A181</f>
        <v>2009</v>
      </c>
      <c r="B181">
        <f>'building data set'!B181</f>
        <v>284</v>
      </c>
      <c r="C181" t="str">
        <f>'building data set'!C181</f>
        <v>Retail</v>
      </c>
      <c r="D181" t="str">
        <f>'building data set'!D181</f>
        <v>Sr. Sub.</v>
      </c>
      <c r="E181">
        <f>'building data set'!E181</f>
        <v>0.95689962032735343</v>
      </c>
      <c r="F181">
        <f>'building data set'!F181</f>
        <v>0.76809214619752908</v>
      </c>
      <c r="G181">
        <f>'building data set'!G181</f>
        <v>0.70330000000000004</v>
      </c>
      <c r="H181">
        <f>'building data set'!H181</f>
        <v>2.2469999999999999</v>
      </c>
    </row>
    <row r="182" spans="1:8" x14ac:dyDescent="0.25">
      <c r="A182">
        <f>'building data set'!A182</f>
        <v>2009</v>
      </c>
      <c r="B182">
        <f>'building data set'!B182</f>
        <v>285</v>
      </c>
      <c r="C182" t="str">
        <f>'building data set'!C182</f>
        <v>Tech</v>
      </c>
      <c r="D182" t="str">
        <f>'building data set'!D182</f>
        <v>Sr. Unsec.</v>
      </c>
      <c r="E182">
        <f>'building data set'!E182</f>
        <v>0.6690551691508293</v>
      </c>
      <c r="F182">
        <f>'building data set'!F182</f>
        <v>0.20230739435107328</v>
      </c>
      <c r="G182">
        <f>'building data set'!G182</f>
        <v>0.53820000000000001</v>
      </c>
      <c r="H182">
        <f>'building data set'!H182</f>
        <v>1.1639999999999999</v>
      </c>
    </row>
    <row r="183" spans="1:8" x14ac:dyDescent="0.25">
      <c r="A183">
        <f>'building data set'!A183</f>
        <v>2009</v>
      </c>
      <c r="B183">
        <f>'building data set'!B183</f>
        <v>285</v>
      </c>
      <c r="C183" t="str">
        <f>'building data set'!C183</f>
        <v>Tech</v>
      </c>
      <c r="D183" t="str">
        <f>'building data set'!D183</f>
        <v>Sr. Sub.</v>
      </c>
      <c r="E183">
        <f>'building data set'!E183</f>
        <v>0.75606718490719793</v>
      </c>
      <c r="F183">
        <f>'building data set'!F183</f>
        <v>0.20230739435107328</v>
      </c>
      <c r="G183">
        <f>'building data set'!G183</f>
        <v>0.70330000000000004</v>
      </c>
      <c r="H183">
        <f>'building data set'!H183</f>
        <v>1.1639999999999999</v>
      </c>
    </row>
    <row r="184" spans="1:8" x14ac:dyDescent="0.25">
      <c r="A184">
        <f>'building data set'!A184</f>
        <v>2009</v>
      </c>
      <c r="B184">
        <f>'building data set'!B184</f>
        <v>286</v>
      </c>
      <c r="C184" t="str">
        <f>'building data set'!C184</f>
        <v>Transp</v>
      </c>
      <c r="D184" t="str">
        <f>'building data set'!D184</f>
        <v>Sr. Unsec.</v>
      </c>
      <c r="E184">
        <f>'building data set'!E184</f>
        <v>0.93317426457405084</v>
      </c>
      <c r="F184">
        <f>'building data set'!F184</f>
        <v>0.40395245441681715</v>
      </c>
      <c r="G184">
        <f>'building data set'!G184</f>
        <v>0.53820000000000001</v>
      </c>
      <c r="H184">
        <f>'building data set'!H184</f>
        <v>2.9630000000000001</v>
      </c>
    </row>
    <row r="185" spans="1:8" x14ac:dyDescent="0.25">
      <c r="A185">
        <f>'building data set'!A185</f>
        <v>2009</v>
      </c>
      <c r="B185">
        <f>'building data set'!B185</f>
        <v>287</v>
      </c>
      <c r="C185" t="str">
        <f>'building data set'!C185</f>
        <v>Retail</v>
      </c>
      <c r="D185" t="str">
        <f>'building data set'!D185</f>
        <v>Sr. Sec.</v>
      </c>
      <c r="E185">
        <f>'building data set'!E185</f>
        <v>0.80035676061511041</v>
      </c>
      <c r="F185">
        <f>'building data set'!F185</f>
        <v>0.20529730333362298</v>
      </c>
      <c r="G185">
        <f>'building data set'!G185</f>
        <v>0.36450000000000005</v>
      </c>
      <c r="H185">
        <f>'building data set'!H185</f>
        <v>2.2469999999999999</v>
      </c>
    </row>
    <row r="186" spans="1:8" x14ac:dyDescent="0.25">
      <c r="A186">
        <f>'building data set'!A186</f>
        <v>2009</v>
      </c>
      <c r="B186">
        <f>'building data set'!B186</f>
        <v>291</v>
      </c>
      <c r="C186" t="str">
        <f>'building data set'!C186</f>
        <v>Tech</v>
      </c>
      <c r="D186" t="str">
        <f>'building data set'!D186</f>
        <v>Sr. Sub.</v>
      </c>
      <c r="E186">
        <f>'building data set'!E186</f>
        <v>0.99</v>
      </c>
      <c r="F186">
        <f>'building data set'!F186</f>
        <v>0.53293711866719895</v>
      </c>
      <c r="G186">
        <f>'building data set'!G186</f>
        <v>0.70330000000000004</v>
      </c>
      <c r="H186">
        <f>'building data set'!H186</f>
        <v>1.1639999999999999</v>
      </c>
    </row>
    <row r="187" spans="1:8" x14ac:dyDescent="0.25">
      <c r="A187">
        <f>'building data set'!A187</f>
        <v>2009</v>
      </c>
      <c r="B187">
        <f>'building data set'!B187</f>
        <v>292</v>
      </c>
      <c r="C187" t="str">
        <f>'building data set'!C187</f>
        <v>Transp</v>
      </c>
      <c r="D187" t="str">
        <f>'building data set'!D187</f>
        <v>Sr. Sub.</v>
      </c>
      <c r="E187">
        <f>'building data set'!E187</f>
        <v>0.90418335014581674</v>
      </c>
      <c r="F187">
        <f>'building data set'!F187</f>
        <v>0.80430074669163809</v>
      </c>
      <c r="G187">
        <f>'building data set'!G187</f>
        <v>0.70330000000000004</v>
      </c>
      <c r="H187">
        <f>'building data set'!H187</f>
        <v>2.9630000000000001</v>
      </c>
    </row>
    <row r="188" spans="1:8" x14ac:dyDescent="0.25">
      <c r="A188">
        <f>'building data set'!A188</f>
        <v>2009</v>
      </c>
      <c r="B188">
        <f>'building data set'!B188</f>
        <v>293</v>
      </c>
      <c r="C188" t="str">
        <f>'building data set'!C188</f>
        <v>Retail</v>
      </c>
      <c r="D188" t="str">
        <f>'building data set'!D188</f>
        <v>Sr. Unsec.</v>
      </c>
      <c r="E188">
        <f>'building data set'!E188</f>
        <v>0.17954934431314473</v>
      </c>
      <c r="F188">
        <f>'building data set'!F188</f>
        <v>0.26</v>
      </c>
      <c r="G188">
        <f>'building data set'!G188</f>
        <v>0.53820000000000001</v>
      </c>
      <c r="H188">
        <f>'building data set'!H188</f>
        <v>2.2469999999999999</v>
      </c>
    </row>
    <row r="189" spans="1:8" x14ac:dyDescent="0.25">
      <c r="A189">
        <f>'building data set'!A189</f>
        <v>2009</v>
      </c>
      <c r="B189">
        <f>'building data set'!B189</f>
        <v>294</v>
      </c>
      <c r="C189" t="str">
        <f>'building data set'!C189</f>
        <v>Media</v>
      </c>
      <c r="D189" t="str">
        <f>'building data set'!D189</f>
        <v>Sr. Unsec.</v>
      </c>
      <c r="E189">
        <f>'building data set'!E189</f>
        <v>0.73442811673939223</v>
      </c>
      <c r="F189">
        <f>'building data set'!F189</f>
        <v>0.15419697176703626</v>
      </c>
      <c r="G189">
        <f>'building data set'!G189</f>
        <v>0.53820000000000001</v>
      </c>
      <c r="H189">
        <f>'building data set'!H189</f>
        <v>4.1470000000000002</v>
      </c>
    </row>
    <row r="190" spans="1:8" x14ac:dyDescent="0.25">
      <c r="A190">
        <f>'building data set'!A190</f>
        <v>2009</v>
      </c>
      <c r="B190">
        <f>'building data set'!B190</f>
        <v>296</v>
      </c>
      <c r="C190" t="str">
        <f>'building data set'!C190</f>
        <v>Cap Ind</v>
      </c>
      <c r="D190" t="str">
        <f>'building data set'!D190</f>
        <v>Sr. Unsec.</v>
      </c>
      <c r="E190">
        <f>'building data set'!E190</f>
        <v>0.31161118421554568</v>
      </c>
      <c r="F190">
        <f>'building data set'!F190</f>
        <v>0.83613666139200893</v>
      </c>
      <c r="G190">
        <f>'building data set'!G190</f>
        <v>0.53820000000000001</v>
      </c>
      <c r="H190">
        <f>'building data set'!H190</f>
        <v>3.0710000000000002</v>
      </c>
    </row>
    <row r="191" spans="1:8" x14ac:dyDescent="0.25">
      <c r="A191">
        <f>'building data set'!A191</f>
        <v>2009</v>
      </c>
      <c r="B191">
        <f>'building data set'!B191</f>
        <v>297</v>
      </c>
      <c r="C191" t="str">
        <f>'building data set'!C191</f>
        <v>Transp</v>
      </c>
      <c r="D191" t="str">
        <f>'building data set'!D191</f>
        <v>Sr. Sec.</v>
      </c>
      <c r="E191">
        <f>'building data set'!E191</f>
        <v>0.99</v>
      </c>
      <c r="F191">
        <f>'building data set'!F191</f>
        <v>0.79899392036391048</v>
      </c>
      <c r="G191">
        <f>'building data set'!G191</f>
        <v>0.36450000000000005</v>
      </c>
      <c r="H191">
        <f>'building data set'!H191</f>
        <v>2.9630000000000001</v>
      </c>
    </row>
    <row r="192" spans="1:8" x14ac:dyDescent="0.25">
      <c r="A192">
        <f>'building data set'!A192</f>
        <v>2009</v>
      </c>
      <c r="B192">
        <f>'building data set'!B192</f>
        <v>298</v>
      </c>
      <c r="C192" t="str">
        <f>'building data set'!C192</f>
        <v>Retail</v>
      </c>
      <c r="D192" t="str">
        <f>'building data set'!D192</f>
        <v>Sr. Sec.</v>
      </c>
      <c r="E192">
        <f>'building data set'!E192</f>
        <v>0.97222836809337143</v>
      </c>
      <c r="F192">
        <f>'building data set'!F192</f>
        <v>0.52323991972374306</v>
      </c>
      <c r="G192">
        <f>'building data set'!G192</f>
        <v>0.36450000000000005</v>
      </c>
      <c r="H192">
        <f>'building data set'!H192</f>
        <v>2.2469999999999999</v>
      </c>
    </row>
    <row r="193" spans="1:8" x14ac:dyDescent="0.25">
      <c r="A193">
        <f>'building data set'!A193</f>
        <v>2009</v>
      </c>
      <c r="B193">
        <f>'building data set'!B193</f>
        <v>298</v>
      </c>
      <c r="C193" t="str">
        <f>'building data set'!C193</f>
        <v>Retail</v>
      </c>
      <c r="D193" t="str">
        <f>'building data set'!D193</f>
        <v>Sr. Sub.</v>
      </c>
      <c r="E193">
        <f>'building data set'!E193</f>
        <v>0.99</v>
      </c>
      <c r="F193">
        <f>'building data set'!F193</f>
        <v>0.52323991972374306</v>
      </c>
      <c r="G193">
        <f>'building data set'!G193</f>
        <v>0.70330000000000004</v>
      </c>
      <c r="H193">
        <f>'building data set'!H193</f>
        <v>2.2469999999999999</v>
      </c>
    </row>
    <row r="194" spans="1:8" x14ac:dyDescent="0.25">
      <c r="A194">
        <f>'building data set'!A194</f>
        <v>2009</v>
      </c>
      <c r="B194">
        <f>'building data set'!B194</f>
        <v>299</v>
      </c>
      <c r="C194" t="str">
        <f>'building data set'!C194</f>
        <v>Cap Ind</v>
      </c>
      <c r="D194" t="str">
        <f>'building data set'!D194</f>
        <v>Sr. Sec.</v>
      </c>
      <c r="E194">
        <f>'building data set'!E194</f>
        <v>0.95712530286908148</v>
      </c>
      <c r="F194">
        <f>'building data set'!F194</f>
        <v>0.57425796295392195</v>
      </c>
      <c r="G194">
        <f>'building data set'!G194</f>
        <v>0.36450000000000005</v>
      </c>
      <c r="H194">
        <f>'building data set'!H194</f>
        <v>3.0710000000000002</v>
      </c>
    </row>
    <row r="195" spans="1:8" x14ac:dyDescent="0.25">
      <c r="A195">
        <f>'building data set'!A195</f>
        <v>2009</v>
      </c>
      <c r="B195">
        <f>'building data set'!B195</f>
        <v>300</v>
      </c>
      <c r="C195" t="str">
        <f>'building data set'!C195</f>
        <v>Cons G</v>
      </c>
      <c r="D195" t="str">
        <f>'building data set'!D195</f>
        <v>Sr. Unsec.</v>
      </c>
      <c r="E195">
        <f>'building data set'!E195</f>
        <v>0.76154080167412763</v>
      </c>
      <c r="F195">
        <f>'building data set'!F195</f>
        <v>0.92330403535137462</v>
      </c>
      <c r="G195">
        <f>'building data set'!G195</f>
        <v>0.53820000000000001</v>
      </c>
      <c r="H195">
        <f>'building data set'!H195</f>
        <v>3.7829999999999999</v>
      </c>
    </row>
    <row r="196" spans="1:8" x14ac:dyDescent="0.25">
      <c r="A196">
        <f>'building data set'!A196</f>
        <v>2009</v>
      </c>
      <c r="B196">
        <f>'building data set'!B196</f>
        <v>301</v>
      </c>
      <c r="C196" t="str">
        <f>'building data set'!C196</f>
        <v>Media</v>
      </c>
      <c r="D196" t="str">
        <f>'building data set'!D196</f>
        <v>Sr. Unsec.</v>
      </c>
      <c r="E196">
        <f>'building data set'!E196</f>
        <v>0.55943084918260577</v>
      </c>
      <c r="F196">
        <f>'building data set'!F196</f>
        <v>0.23143630736515952</v>
      </c>
      <c r="G196">
        <f>'building data set'!G196</f>
        <v>0.53820000000000001</v>
      </c>
      <c r="H196">
        <f>'building data set'!H196</f>
        <v>4.1470000000000002</v>
      </c>
    </row>
    <row r="197" spans="1:8" x14ac:dyDescent="0.25">
      <c r="A197">
        <f>'building data set'!A197</f>
        <v>2009</v>
      </c>
      <c r="B197">
        <f>'building data set'!B197</f>
        <v>302</v>
      </c>
      <c r="C197" t="str">
        <f>'building data set'!C197</f>
        <v>Media</v>
      </c>
      <c r="D197" t="str">
        <f>'building data set'!D197</f>
        <v>Sr. Unsec.</v>
      </c>
      <c r="E197">
        <f>'building data set'!E197</f>
        <v>9.6788762124776939E-2</v>
      </c>
      <c r="F197">
        <f>'building data set'!F197</f>
        <v>0.6848675407554724</v>
      </c>
      <c r="G197">
        <f>'building data set'!G197</f>
        <v>0.53820000000000001</v>
      </c>
      <c r="H197">
        <f>'building data set'!H197</f>
        <v>4.1470000000000002</v>
      </c>
    </row>
    <row r="198" spans="1:8" x14ac:dyDescent="0.25">
      <c r="A198">
        <f>'building data set'!A198</f>
        <v>2009</v>
      </c>
      <c r="B198">
        <f>'building data set'!B198</f>
        <v>302</v>
      </c>
      <c r="C198" t="str">
        <f>'building data set'!C198</f>
        <v>Media</v>
      </c>
      <c r="D198" t="str">
        <f>'building data set'!D198</f>
        <v>Sub.</v>
      </c>
      <c r="E198">
        <f>'building data set'!E198</f>
        <v>4.2263957858085677E-2</v>
      </c>
      <c r="F198">
        <f>'building data set'!F198</f>
        <v>0.6848675407554724</v>
      </c>
      <c r="G198">
        <f>'building data set'!G198</f>
        <v>0.71150000000000002</v>
      </c>
      <c r="H198">
        <f>'building data set'!H198</f>
        <v>4.1470000000000002</v>
      </c>
    </row>
    <row r="199" spans="1:8" x14ac:dyDescent="0.25">
      <c r="A199">
        <f>'building data set'!A199</f>
        <v>2009</v>
      </c>
      <c r="B199">
        <f>'building data set'!B199</f>
        <v>303</v>
      </c>
      <c r="C199" t="str">
        <f>'building data set'!C199</f>
        <v>Tech</v>
      </c>
      <c r="D199" t="str">
        <f>'building data set'!D199</f>
        <v>Sr. Unsec.</v>
      </c>
      <c r="E199">
        <f>'building data set'!E199</f>
        <v>0.57622066753804679</v>
      </c>
      <c r="F199">
        <f>'building data set'!F199</f>
        <v>0.2047471978316206</v>
      </c>
      <c r="G199">
        <f>'building data set'!G199</f>
        <v>0.53820000000000001</v>
      </c>
      <c r="H199">
        <f>'building data set'!H199</f>
        <v>1.1639999999999999</v>
      </c>
    </row>
    <row r="200" spans="1:8" x14ac:dyDescent="0.25">
      <c r="A200">
        <f>'building data set'!A200</f>
        <v>2009</v>
      </c>
      <c r="B200">
        <f>'building data set'!B200</f>
        <v>305</v>
      </c>
      <c r="C200" t="str">
        <f>'building data set'!C200</f>
        <v>Retail</v>
      </c>
      <c r="D200" t="str">
        <f>'building data set'!D200</f>
        <v>Sr. Unsec.</v>
      </c>
      <c r="E200">
        <f>'building data set'!E200</f>
        <v>0.80966870975494387</v>
      </c>
      <c r="F200">
        <f>'building data set'!F200</f>
        <v>0.94059006806503898</v>
      </c>
      <c r="G200">
        <f>'building data set'!G200</f>
        <v>0.53820000000000001</v>
      </c>
      <c r="H200">
        <f>'building data set'!H200</f>
        <v>2.2469999999999999</v>
      </c>
    </row>
    <row r="201" spans="1:8" x14ac:dyDescent="0.25">
      <c r="A201">
        <f>'building data set'!A201</f>
        <v>2009</v>
      </c>
      <c r="B201">
        <f>'building data set'!B201</f>
        <v>306</v>
      </c>
      <c r="C201" t="str">
        <f>'building data set'!C201</f>
        <v>Tech</v>
      </c>
      <c r="D201" t="str">
        <f>'building data set'!D201</f>
        <v>Sr. Unsec.</v>
      </c>
      <c r="E201">
        <f>'building data set'!E201</f>
        <v>0.71152721018373977</v>
      </c>
      <c r="F201">
        <f>'building data set'!F201</f>
        <v>0.29514580812399216</v>
      </c>
      <c r="G201">
        <f>'building data set'!G201</f>
        <v>0.53820000000000001</v>
      </c>
      <c r="H201">
        <f>'building data set'!H201</f>
        <v>1.1639999999999999</v>
      </c>
    </row>
    <row r="202" spans="1:8" x14ac:dyDescent="0.25">
      <c r="A202">
        <f>'building data set'!A202</f>
        <v>2009</v>
      </c>
      <c r="B202">
        <f>'building data set'!B202</f>
        <v>307</v>
      </c>
      <c r="C202" t="str">
        <f>'building data set'!C202</f>
        <v>Transp</v>
      </c>
      <c r="D202" t="str">
        <f>'building data set'!D202</f>
        <v>Sr. Sec.</v>
      </c>
      <c r="E202">
        <f>'building data set'!E202</f>
        <v>0.01</v>
      </c>
      <c r="F202">
        <f>'building data set'!F202</f>
        <v>0.47996737861227023</v>
      </c>
      <c r="G202">
        <f>'building data set'!G202</f>
        <v>0.36450000000000005</v>
      </c>
      <c r="H202">
        <f>'building data set'!H202</f>
        <v>2.9630000000000001</v>
      </c>
    </row>
    <row r="203" spans="1:8" x14ac:dyDescent="0.25">
      <c r="A203">
        <f>'building data set'!A203</f>
        <v>2009</v>
      </c>
      <c r="B203">
        <f>'building data set'!B203</f>
        <v>307</v>
      </c>
      <c r="C203" t="str">
        <f>'building data set'!C203</f>
        <v>Transp</v>
      </c>
      <c r="D203" t="str">
        <f>'building data set'!D203</f>
        <v>Sr. Unsec.</v>
      </c>
      <c r="E203">
        <f>'building data set'!E203</f>
        <v>0.51446560047328482</v>
      </c>
      <c r="F203">
        <f>'building data set'!F203</f>
        <v>0.47996737861227023</v>
      </c>
      <c r="G203">
        <f>'building data set'!G203</f>
        <v>0.53820000000000001</v>
      </c>
      <c r="H203">
        <f>'building data set'!H203</f>
        <v>2.9630000000000001</v>
      </c>
    </row>
    <row r="204" spans="1:8" x14ac:dyDescent="0.25">
      <c r="A204">
        <f>'building data set'!A204</f>
        <v>2009</v>
      </c>
      <c r="B204">
        <f>'building data set'!B204</f>
        <v>307</v>
      </c>
      <c r="C204" t="str">
        <f>'building data set'!C204</f>
        <v>Transp</v>
      </c>
      <c r="D204" t="str">
        <f>'building data set'!D204</f>
        <v>Sr. Sub.</v>
      </c>
      <c r="E204">
        <f>'building data set'!E204</f>
        <v>0.47262039163470271</v>
      </c>
      <c r="F204">
        <f>'building data set'!F204</f>
        <v>0.47996737861227023</v>
      </c>
      <c r="G204">
        <f>'building data set'!G204</f>
        <v>0.70330000000000004</v>
      </c>
      <c r="H204">
        <f>'building data set'!H204</f>
        <v>2.9630000000000001</v>
      </c>
    </row>
    <row r="205" spans="1:8" x14ac:dyDescent="0.25">
      <c r="A205">
        <f>'building data set'!A205</f>
        <v>2009</v>
      </c>
      <c r="B205">
        <f>'building data set'!B205</f>
        <v>308</v>
      </c>
      <c r="C205" t="str">
        <f>'building data set'!C205</f>
        <v>Retail</v>
      </c>
      <c r="D205" t="str">
        <f>'building data set'!D205</f>
        <v>Sr. Unsec.</v>
      </c>
      <c r="E205">
        <f>'building data set'!E205</f>
        <v>0.81954076848268509</v>
      </c>
      <c r="F205">
        <f>'building data set'!F205</f>
        <v>0.80250842045017323</v>
      </c>
      <c r="G205">
        <f>'building data set'!G205</f>
        <v>0.53820000000000001</v>
      </c>
      <c r="H205">
        <f>'building data set'!H205</f>
        <v>2.2469999999999999</v>
      </c>
    </row>
    <row r="206" spans="1:8" x14ac:dyDescent="0.25">
      <c r="A206">
        <f>'building data set'!A206</f>
        <v>2009</v>
      </c>
      <c r="B206">
        <f>'building data set'!B206</f>
        <v>310</v>
      </c>
      <c r="C206" t="str">
        <f>'building data set'!C206</f>
        <v>Transp</v>
      </c>
      <c r="D206" t="str">
        <f>'building data set'!D206</f>
        <v>Sr. Sub.</v>
      </c>
      <c r="E206">
        <f>'building data set'!E206</f>
        <v>0.99</v>
      </c>
      <c r="F206">
        <f>'building data set'!F206</f>
        <v>0.86228138746082417</v>
      </c>
      <c r="G206">
        <f>'building data set'!G206</f>
        <v>0.70330000000000004</v>
      </c>
      <c r="H206">
        <f>'building data set'!H206</f>
        <v>2.9630000000000001</v>
      </c>
    </row>
    <row r="207" spans="1:8" x14ac:dyDescent="0.25">
      <c r="A207">
        <f>'building data set'!A207</f>
        <v>2009</v>
      </c>
      <c r="B207">
        <f>'building data set'!B207</f>
        <v>311</v>
      </c>
      <c r="C207" t="str">
        <f>'building data set'!C207</f>
        <v>Media</v>
      </c>
      <c r="D207" t="str">
        <f>'building data set'!D207</f>
        <v>Sr. Unsec.</v>
      </c>
      <c r="E207">
        <f>'building data set'!E207</f>
        <v>0.24217982484698297</v>
      </c>
      <c r="F207">
        <f>'building data set'!F207</f>
        <v>0.48300381772266715</v>
      </c>
      <c r="G207">
        <f>'building data set'!G207</f>
        <v>0.53820000000000001</v>
      </c>
      <c r="H207">
        <f>'building data set'!H207</f>
        <v>4.1470000000000002</v>
      </c>
    </row>
    <row r="208" spans="1:8" x14ac:dyDescent="0.25">
      <c r="A208">
        <f>'building data set'!A208</f>
        <v>2009</v>
      </c>
      <c r="B208">
        <f>'building data set'!B208</f>
        <v>314</v>
      </c>
      <c r="C208" t="str">
        <f>'building data set'!C208</f>
        <v>Tech</v>
      </c>
      <c r="D208" t="str">
        <f>'building data set'!D208</f>
        <v>Sr. Unsec.</v>
      </c>
      <c r="E208">
        <f>'building data set'!E208</f>
        <v>0.63734660701751711</v>
      </c>
      <c r="F208">
        <f>'building data set'!F208</f>
        <v>0.18741281127308812</v>
      </c>
      <c r="G208">
        <f>'building data set'!G208</f>
        <v>0.53820000000000001</v>
      </c>
      <c r="H208">
        <f>'building data set'!H208</f>
        <v>1.1639999999999999</v>
      </c>
    </row>
    <row r="209" spans="1:8" x14ac:dyDescent="0.25">
      <c r="A209">
        <f>'building data set'!A209</f>
        <v>2009</v>
      </c>
      <c r="B209">
        <f>'building data set'!B209</f>
        <v>315</v>
      </c>
      <c r="C209" t="str">
        <f>'building data set'!C209</f>
        <v>Transp</v>
      </c>
      <c r="D209" t="str">
        <f>'building data set'!D209</f>
        <v>Sr. Sec.</v>
      </c>
      <c r="E209">
        <f>'building data set'!E209</f>
        <v>0.92386953196525567</v>
      </c>
      <c r="F209">
        <f>'building data set'!F209</f>
        <v>0.25884951558448405</v>
      </c>
      <c r="G209">
        <f>'building data set'!G209</f>
        <v>0.36450000000000005</v>
      </c>
      <c r="H209">
        <f>'building data set'!H209</f>
        <v>2.9630000000000001</v>
      </c>
    </row>
    <row r="210" spans="1:8" x14ac:dyDescent="0.25">
      <c r="A210">
        <f>'building data set'!A210</f>
        <v>2009</v>
      </c>
      <c r="B210">
        <f>'building data set'!B210</f>
        <v>316</v>
      </c>
      <c r="C210" t="str">
        <f>'building data set'!C210</f>
        <v>Retail</v>
      </c>
      <c r="D210" t="str">
        <f>'building data set'!D210</f>
        <v>Sr. Unsec.</v>
      </c>
      <c r="E210">
        <f>'building data set'!E210</f>
        <v>0.98082435829639436</v>
      </c>
      <c r="F210">
        <f>'building data set'!F210</f>
        <v>0.66178434072201453</v>
      </c>
      <c r="G210">
        <f>'building data set'!G210</f>
        <v>0.53820000000000001</v>
      </c>
      <c r="H210">
        <f>'building data set'!H210</f>
        <v>2.2469999999999999</v>
      </c>
    </row>
    <row r="211" spans="1:8" x14ac:dyDescent="0.25">
      <c r="A211">
        <f>'building data set'!A211</f>
        <v>2009</v>
      </c>
      <c r="B211">
        <f>'building data set'!B211</f>
        <v>317</v>
      </c>
      <c r="C211" t="str">
        <f>'building data set'!C211</f>
        <v>Media</v>
      </c>
      <c r="D211" t="str">
        <f>'building data set'!D211</f>
        <v>Sr. Unsec.</v>
      </c>
      <c r="E211">
        <f>'building data set'!E211</f>
        <v>0.76209787383675576</v>
      </c>
      <c r="F211">
        <f>'building data set'!F211</f>
        <v>0.37028683989403055</v>
      </c>
      <c r="G211">
        <f>'building data set'!G211</f>
        <v>0.53820000000000001</v>
      </c>
      <c r="H211">
        <f>'building data set'!H211</f>
        <v>4.1470000000000002</v>
      </c>
    </row>
    <row r="212" spans="1:8" x14ac:dyDescent="0.25">
      <c r="A212">
        <f>'building data set'!A212</f>
        <v>2009</v>
      </c>
      <c r="B212">
        <f>'building data set'!B212</f>
        <v>318</v>
      </c>
      <c r="C212" t="str">
        <f>'building data set'!C212</f>
        <v>Retail</v>
      </c>
      <c r="D212" t="str">
        <f>'building data set'!D212</f>
        <v>Sr. Sub.</v>
      </c>
      <c r="E212">
        <f>'building data set'!E212</f>
        <v>0.65374733021259313</v>
      </c>
      <c r="F212">
        <f>'building data set'!F212</f>
        <v>0.7742218751608978</v>
      </c>
      <c r="G212">
        <f>'building data set'!G212</f>
        <v>0.70330000000000004</v>
      </c>
      <c r="H212">
        <f>'building data set'!H212</f>
        <v>2.2469999999999999</v>
      </c>
    </row>
    <row r="213" spans="1:8" x14ac:dyDescent="0.25">
      <c r="A213">
        <f>'building data set'!A213</f>
        <v>2009</v>
      </c>
      <c r="B213">
        <f>'building data set'!B213</f>
        <v>319</v>
      </c>
      <c r="C213" t="str">
        <f>'building data set'!C213</f>
        <v>Tech</v>
      </c>
      <c r="D213" t="str">
        <f>'building data set'!D213</f>
        <v>Sr. Sec.</v>
      </c>
      <c r="E213">
        <f>'building data set'!E213</f>
        <v>0.57599219883203512</v>
      </c>
      <c r="F213">
        <f>'building data set'!F213</f>
        <v>0.64298343381969369</v>
      </c>
      <c r="G213">
        <f>'building data set'!G213</f>
        <v>0.36450000000000005</v>
      </c>
      <c r="H213">
        <f>'building data set'!H213</f>
        <v>1.1639999999999999</v>
      </c>
    </row>
    <row r="214" spans="1:8" x14ac:dyDescent="0.25">
      <c r="A214">
        <f>'building data set'!A214</f>
        <v>2009</v>
      </c>
      <c r="B214">
        <f>'building data set'!B214</f>
        <v>319</v>
      </c>
      <c r="C214" t="str">
        <f>'building data set'!C214</f>
        <v>Tech</v>
      </c>
      <c r="D214" t="str">
        <f>'building data set'!D214</f>
        <v>Sr. Unsec.</v>
      </c>
      <c r="E214">
        <f>'building data set'!E214</f>
        <v>0.73792662335932258</v>
      </c>
      <c r="F214">
        <f>'building data set'!F214</f>
        <v>0.64298343381969369</v>
      </c>
      <c r="G214">
        <f>'building data set'!G214</f>
        <v>0.53820000000000001</v>
      </c>
      <c r="H214">
        <f>'building data set'!H214</f>
        <v>1.1639999999999999</v>
      </c>
    </row>
    <row r="215" spans="1:8" x14ac:dyDescent="0.25">
      <c r="A215">
        <f>'building data set'!A215</f>
        <v>2009</v>
      </c>
      <c r="B215">
        <f>'building data set'!B215</f>
        <v>320</v>
      </c>
      <c r="C215" t="str">
        <f>'building data set'!C215</f>
        <v>Transp</v>
      </c>
      <c r="D215" t="str">
        <f>'building data set'!D215</f>
        <v>Sub.</v>
      </c>
      <c r="E215">
        <f>'building data set'!E215</f>
        <v>0.97807546726405625</v>
      </c>
      <c r="F215">
        <f>'building data set'!F215</f>
        <v>0.7053049625318708</v>
      </c>
      <c r="G215">
        <f>'building data set'!G215</f>
        <v>0.71150000000000002</v>
      </c>
      <c r="H215">
        <f>'building data set'!H215</f>
        <v>2.9630000000000001</v>
      </c>
    </row>
    <row r="216" spans="1:8" x14ac:dyDescent="0.25">
      <c r="A216">
        <f>'building data set'!A216</f>
        <v>2009</v>
      </c>
      <c r="B216">
        <f>'building data set'!B216</f>
        <v>321</v>
      </c>
      <c r="C216" t="str">
        <f>'building data set'!C216</f>
        <v>Retail</v>
      </c>
      <c r="D216" t="str">
        <f>'building data set'!D216</f>
        <v>Sr. Sub.</v>
      </c>
      <c r="E216">
        <f>'building data set'!E216</f>
        <v>0.55677303921699517</v>
      </c>
      <c r="F216">
        <f>'building data set'!F216</f>
        <v>0.34462043328749981</v>
      </c>
      <c r="G216">
        <f>'building data set'!G216</f>
        <v>0.70330000000000004</v>
      </c>
      <c r="H216">
        <f>'building data set'!H216</f>
        <v>2.2469999999999999</v>
      </c>
    </row>
    <row r="217" spans="1:8" x14ac:dyDescent="0.25">
      <c r="A217">
        <f>'building data set'!A217</f>
        <v>2009</v>
      </c>
      <c r="B217">
        <f>'building data set'!B217</f>
        <v>322</v>
      </c>
      <c r="C217" t="str">
        <f>'building data set'!C217</f>
        <v>Cons G</v>
      </c>
      <c r="D217" t="str">
        <f>'building data set'!D217</f>
        <v>Sr. Unsec.</v>
      </c>
      <c r="E217">
        <f>'building data set'!E217</f>
        <v>0.30142650561451911</v>
      </c>
      <c r="F217">
        <f>'building data set'!F217</f>
        <v>0.73301858763614658</v>
      </c>
      <c r="G217">
        <f>'building data set'!G217</f>
        <v>0.53820000000000001</v>
      </c>
      <c r="H217">
        <f>'building data set'!H217</f>
        <v>3.7829999999999999</v>
      </c>
    </row>
    <row r="218" spans="1:8" x14ac:dyDescent="0.25">
      <c r="A218">
        <f>'building data set'!A218</f>
        <v>2009</v>
      </c>
      <c r="B218">
        <f>'building data set'!B218</f>
        <v>323</v>
      </c>
      <c r="C218" t="str">
        <f>'building data set'!C218</f>
        <v>Cons G</v>
      </c>
      <c r="D218" t="str">
        <f>'building data set'!D218</f>
        <v>Sr. Unsec.</v>
      </c>
      <c r="E218">
        <f>'building data set'!E218</f>
        <v>0.74240603610873213</v>
      </c>
      <c r="F218">
        <f>'building data set'!F218</f>
        <v>0.83392665242960817</v>
      </c>
      <c r="G218">
        <f>'building data set'!G218</f>
        <v>0.53820000000000001</v>
      </c>
      <c r="H218">
        <f>'building data set'!H218</f>
        <v>3.7829999999999999</v>
      </c>
    </row>
    <row r="219" spans="1:8" x14ac:dyDescent="0.25">
      <c r="A219">
        <f>'building data set'!A219</f>
        <v>2009</v>
      </c>
      <c r="B219">
        <f>'building data set'!B219</f>
        <v>323</v>
      </c>
      <c r="C219" t="str">
        <f>'building data set'!C219</f>
        <v>Cons G</v>
      </c>
      <c r="D219" t="str">
        <f>'building data set'!D219</f>
        <v>Sr. Sub.</v>
      </c>
      <c r="E219">
        <f>'building data set'!E219</f>
        <v>0.77017602262496954</v>
      </c>
      <c r="F219">
        <f>'building data set'!F219</f>
        <v>0.83392665242960817</v>
      </c>
      <c r="G219">
        <f>'building data set'!G219</f>
        <v>0.70330000000000004</v>
      </c>
      <c r="H219">
        <f>'building data set'!H219</f>
        <v>3.7829999999999999</v>
      </c>
    </row>
    <row r="220" spans="1:8" x14ac:dyDescent="0.25">
      <c r="A220">
        <f>'building data set'!A220</f>
        <v>2009</v>
      </c>
      <c r="B220">
        <f>'building data set'!B220</f>
        <v>324</v>
      </c>
      <c r="C220" t="str">
        <f>'building data set'!C220</f>
        <v>Media</v>
      </c>
      <c r="D220" t="str">
        <f>'building data set'!D220</f>
        <v>Sr. Unsec.</v>
      </c>
      <c r="E220">
        <f>'building data set'!E220</f>
        <v>0.83238860327005382</v>
      </c>
      <c r="F220">
        <f>'building data set'!F220</f>
        <v>0.82235294946736481</v>
      </c>
      <c r="G220">
        <f>'building data set'!G220</f>
        <v>0.53820000000000001</v>
      </c>
      <c r="H220">
        <f>'building data set'!H220</f>
        <v>4.1470000000000002</v>
      </c>
    </row>
    <row r="221" spans="1:8" x14ac:dyDescent="0.25">
      <c r="A221">
        <f>'building data set'!A221</f>
        <v>2009</v>
      </c>
      <c r="B221">
        <f>'building data set'!B221</f>
        <v>325</v>
      </c>
      <c r="C221" t="str">
        <f>'building data set'!C221</f>
        <v>Cap Ind</v>
      </c>
      <c r="D221" t="str">
        <f>'building data set'!D221</f>
        <v>Sr. Unsec.</v>
      </c>
      <c r="E221">
        <f>'building data set'!E221</f>
        <v>0.77813888953208921</v>
      </c>
      <c r="F221">
        <f>'building data set'!F221</f>
        <v>0.85013264541030864</v>
      </c>
      <c r="G221">
        <f>'building data set'!G221</f>
        <v>0.53820000000000001</v>
      </c>
      <c r="H221">
        <f>'building data set'!H221</f>
        <v>3.0710000000000002</v>
      </c>
    </row>
    <row r="222" spans="1:8" x14ac:dyDescent="0.25">
      <c r="A222">
        <f>'building data set'!A222</f>
        <v>2009</v>
      </c>
      <c r="B222">
        <f>'building data set'!B222</f>
        <v>325</v>
      </c>
      <c r="C222" t="str">
        <f>'building data set'!C222</f>
        <v>Cap Ind</v>
      </c>
      <c r="D222" t="str">
        <f>'building data set'!D222</f>
        <v>Sr. Sub.</v>
      </c>
      <c r="E222">
        <f>'building data set'!E222</f>
        <v>0.52634980507194995</v>
      </c>
      <c r="F222">
        <f>'building data set'!F222</f>
        <v>0.85013264541030864</v>
      </c>
      <c r="G222">
        <f>'building data set'!G222</f>
        <v>0.70330000000000004</v>
      </c>
      <c r="H222">
        <f>'building data set'!H222</f>
        <v>3.0710000000000002</v>
      </c>
    </row>
    <row r="223" spans="1:8" x14ac:dyDescent="0.25">
      <c r="A223">
        <f>'building data set'!A223</f>
        <v>2009</v>
      </c>
      <c r="B223">
        <f>'building data set'!B223</f>
        <v>326</v>
      </c>
      <c r="C223" t="str">
        <f>'building data set'!C223</f>
        <v>Media</v>
      </c>
      <c r="D223" t="str">
        <f>'building data set'!D223</f>
        <v>Sr. Unsec.</v>
      </c>
      <c r="E223">
        <f>'building data set'!E223</f>
        <v>0.93534980479478835</v>
      </c>
      <c r="F223">
        <f>'building data set'!F223</f>
        <v>0.37049516497315171</v>
      </c>
      <c r="G223">
        <f>'building data set'!G223</f>
        <v>0.53820000000000001</v>
      </c>
      <c r="H223">
        <f>'building data set'!H223</f>
        <v>4.1470000000000002</v>
      </c>
    </row>
    <row r="224" spans="1:8" x14ac:dyDescent="0.25">
      <c r="A224">
        <f>'building data set'!A224</f>
        <v>2009</v>
      </c>
      <c r="B224">
        <f>'building data set'!B224</f>
        <v>328</v>
      </c>
      <c r="C224" t="str">
        <f>'building data set'!C224</f>
        <v>Retail</v>
      </c>
      <c r="D224" t="str">
        <f>'building data set'!D224</f>
        <v>Sr. Unsec.</v>
      </c>
      <c r="E224">
        <f>'building data set'!E224</f>
        <v>0.18601185321807867</v>
      </c>
      <c r="F224">
        <f>'building data set'!F224</f>
        <v>0.82519259404353207</v>
      </c>
      <c r="G224">
        <f>'building data set'!G224</f>
        <v>0.53820000000000001</v>
      </c>
      <c r="H224">
        <f>'building data set'!H224</f>
        <v>2.2469999999999999</v>
      </c>
    </row>
    <row r="225" spans="1:8" x14ac:dyDescent="0.25">
      <c r="A225">
        <f>'building data set'!A225</f>
        <v>2009</v>
      </c>
      <c r="B225">
        <f>'building data set'!B225</f>
        <v>329</v>
      </c>
      <c r="C225" t="str">
        <f>'building data set'!C225</f>
        <v>Tech</v>
      </c>
      <c r="D225" t="str">
        <f>'building data set'!D225</f>
        <v>Sr. Unsec.</v>
      </c>
      <c r="E225">
        <f>'building data set'!E225</f>
        <v>0.74814656003415592</v>
      </c>
      <c r="F225">
        <f>'building data set'!F225</f>
        <v>0.7706749225844941</v>
      </c>
      <c r="G225">
        <f>'building data set'!G225</f>
        <v>0.53820000000000001</v>
      </c>
      <c r="H225">
        <f>'building data set'!H225</f>
        <v>1.1639999999999999</v>
      </c>
    </row>
    <row r="226" spans="1:8" x14ac:dyDescent="0.25">
      <c r="A226">
        <f>'building data set'!A226</f>
        <v>2009</v>
      </c>
      <c r="B226">
        <f>'building data set'!B226</f>
        <v>333</v>
      </c>
      <c r="C226" t="str">
        <f>'building data set'!C226</f>
        <v>Media</v>
      </c>
      <c r="D226" t="str">
        <f>'building data set'!D226</f>
        <v>Sr. Unsec.</v>
      </c>
      <c r="E226">
        <f>'building data set'!E226</f>
        <v>0.65532750606119627</v>
      </c>
      <c r="F226">
        <f>'building data set'!F226</f>
        <v>0.41413523854731749</v>
      </c>
      <c r="G226">
        <f>'building data set'!G226</f>
        <v>0.53820000000000001</v>
      </c>
      <c r="H226">
        <f>'building data set'!H226</f>
        <v>4.1470000000000002</v>
      </c>
    </row>
    <row r="227" spans="1:8" x14ac:dyDescent="0.25">
      <c r="A227">
        <f>'building data set'!A227</f>
        <v>2009</v>
      </c>
      <c r="B227">
        <f>'building data set'!B227</f>
        <v>333</v>
      </c>
      <c r="C227" t="str">
        <f>'building data set'!C227</f>
        <v>Media</v>
      </c>
      <c r="D227" t="str">
        <f>'building data set'!D227</f>
        <v>Sr. Sub.</v>
      </c>
      <c r="E227">
        <f>'building data set'!E227</f>
        <v>0.90599404713869092</v>
      </c>
      <c r="F227">
        <f>'building data set'!F227</f>
        <v>0.41413523854731749</v>
      </c>
      <c r="G227">
        <f>'building data set'!G227</f>
        <v>0.70330000000000004</v>
      </c>
      <c r="H227">
        <f>'building data set'!H227</f>
        <v>4.1470000000000002</v>
      </c>
    </row>
    <row r="228" spans="1:8" x14ac:dyDescent="0.25">
      <c r="A228">
        <f>'building data set'!A228</f>
        <v>2009</v>
      </c>
      <c r="B228">
        <f>'building data set'!B228</f>
        <v>334</v>
      </c>
      <c r="C228" t="str">
        <f>'building data set'!C228</f>
        <v>Retail</v>
      </c>
      <c r="D228" t="str">
        <f>'building data set'!D228</f>
        <v>Sr. Unsec.</v>
      </c>
      <c r="E228">
        <f>'building data set'!E228</f>
        <v>0.895144922709465</v>
      </c>
      <c r="F228">
        <f>'building data set'!F228</f>
        <v>0.59637096013749225</v>
      </c>
      <c r="G228">
        <f>'building data set'!G228</f>
        <v>0.53820000000000001</v>
      </c>
      <c r="H228">
        <f>'building data set'!H228</f>
        <v>2.2469999999999999</v>
      </c>
    </row>
    <row r="229" spans="1:8" x14ac:dyDescent="0.25">
      <c r="A229">
        <f>'building data set'!A229</f>
        <v>2009</v>
      </c>
      <c r="B229">
        <f>'building data set'!B229</f>
        <v>336</v>
      </c>
      <c r="C229" t="str">
        <f>'building data set'!C229</f>
        <v>Transp</v>
      </c>
      <c r="D229" t="str">
        <f>'building data set'!D229</f>
        <v>Sr. Sec.</v>
      </c>
      <c r="E229">
        <f>'building data set'!E229</f>
        <v>0.82873178800344471</v>
      </c>
      <c r="F229">
        <f>'building data set'!F229</f>
        <v>0.65035028198044809</v>
      </c>
      <c r="G229">
        <f>'building data set'!G229</f>
        <v>0.36450000000000005</v>
      </c>
      <c r="H229">
        <f>'building data set'!H229</f>
        <v>2.9630000000000001</v>
      </c>
    </row>
    <row r="230" spans="1:8" x14ac:dyDescent="0.25">
      <c r="A230">
        <f>'building data set'!A230</f>
        <v>2009</v>
      </c>
      <c r="B230">
        <f>'building data set'!B230</f>
        <v>337</v>
      </c>
      <c r="C230" t="str">
        <f>'building data set'!C230</f>
        <v>Retail</v>
      </c>
      <c r="D230" t="str">
        <f>'building data set'!D230</f>
        <v>Sr. Unsec.</v>
      </c>
      <c r="E230">
        <f>'building data set'!E230</f>
        <v>0.54438598661661153</v>
      </c>
      <c r="F230">
        <f>'building data set'!F230</f>
        <v>0.37308013093765113</v>
      </c>
      <c r="G230">
        <f>'building data set'!G230</f>
        <v>0.53820000000000001</v>
      </c>
      <c r="H230">
        <f>'building data set'!H230</f>
        <v>2.2469999999999999</v>
      </c>
    </row>
    <row r="231" spans="1:8" x14ac:dyDescent="0.25">
      <c r="A231">
        <f>'building data set'!A231</f>
        <v>2009</v>
      </c>
      <c r="B231">
        <f>'building data set'!B231</f>
        <v>338</v>
      </c>
      <c r="C231" t="str">
        <f>'building data set'!C231</f>
        <v>Tech</v>
      </c>
      <c r="D231" t="str">
        <f>'building data set'!D231</f>
        <v>Sr. Unsec.</v>
      </c>
      <c r="E231">
        <f>'building data set'!E231</f>
        <v>0.78084052650332447</v>
      </c>
      <c r="F231">
        <f>'building data set'!F231</f>
        <v>0.66224073162408104</v>
      </c>
      <c r="G231">
        <f>'building data set'!G231</f>
        <v>0.53820000000000001</v>
      </c>
      <c r="H231">
        <f>'building data set'!H231</f>
        <v>1.1639999999999999</v>
      </c>
    </row>
    <row r="232" spans="1:8" x14ac:dyDescent="0.25">
      <c r="A232">
        <f>'building data set'!A232</f>
        <v>2009</v>
      </c>
      <c r="B232">
        <f>'building data set'!B232</f>
        <v>339</v>
      </c>
      <c r="C232" t="str">
        <f>'building data set'!C232</f>
        <v>Transp</v>
      </c>
      <c r="D232" t="str">
        <f>'building data set'!D232</f>
        <v>Sr. Sec.</v>
      </c>
      <c r="E232">
        <f>'building data set'!E232</f>
        <v>0.61715316200256343</v>
      </c>
      <c r="F232">
        <f>'building data set'!F232</f>
        <v>0.83175535466956585</v>
      </c>
      <c r="G232">
        <f>'building data set'!G232</f>
        <v>0.36450000000000005</v>
      </c>
      <c r="H232">
        <f>'building data set'!H232</f>
        <v>2.9630000000000001</v>
      </c>
    </row>
    <row r="233" spans="1:8" x14ac:dyDescent="0.25">
      <c r="A233">
        <f>'building data set'!A233</f>
        <v>2009</v>
      </c>
      <c r="B233">
        <f>'building data set'!B233</f>
        <v>340</v>
      </c>
      <c r="C233" t="str">
        <f>'building data set'!C233</f>
        <v>Media</v>
      </c>
      <c r="D233" t="str">
        <f>'building data set'!D233</f>
        <v>Sr. Unsec.</v>
      </c>
      <c r="E233">
        <f>'building data set'!E233</f>
        <v>0.84987534433126455</v>
      </c>
      <c r="F233">
        <f>'building data set'!F233</f>
        <v>0.79780068093659473</v>
      </c>
      <c r="G233">
        <f>'building data set'!G233</f>
        <v>0.53820000000000001</v>
      </c>
      <c r="H233">
        <f>'building data set'!H233</f>
        <v>4.1470000000000002</v>
      </c>
    </row>
    <row r="234" spans="1:8" x14ac:dyDescent="0.25">
      <c r="A234">
        <f>'building data set'!A234</f>
        <v>2009</v>
      </c>
      <c r="B234">
        <f>'building data set'!B234</f>
        <v>340</v>
      </c>
      <c r="C234" t="str">
        <f>'building data set'!C234</f>
        <v>Media</v>
      </c>
      <c r="D234" t="str">
        <f>'building data set'!D234</f>
        <v>Sr. Sub.</v>
      </c>
      <c r="E234">
        <f>'building data set'!E234</f>
        <v>0.86654142132997514</v>
      </c>
      <c r="F234">
        <f>'building data set'!F234</f>
        <v>0.79780068093659473</v>
      </c>
      <c r="G234">
        <f>'building data set'!G234</f>
        <v>0.70330000000000004</v>
      </c>
      <c r="H234">
        <f>'building data set'!H234</f>
        <v>4.1470000000000002</v>
      </c>
    </row>
    <row r="235" spans="1:8" x14ac:dyDescent="0.25">
      <c r="A235">
        <f>'building data set'!A235</f>
        <v>2009</v>
      </c>
      <c r="B235">
        <f>'building data set'!B235</f>
        <v>342</v>
      </c>
      <c r="C235" t="str">
        <f>'building data set'!C235</f>
        <v>Retail</v>
      </c>
      <c r="D235" t="str">
        <f>'building data set'!D235</f>
        <v>Sr. Unsec.</v>
      </c>
      <c r="E235">
        <f>'building data set'!E235</f>
        <v>0.66017620335698135</v>
      </c>
      <c r="F235">
        <f>'building data set'!F235</f>
        <v>0.20867876306453159</v>
      </c>
      <c r="G235">
        <f>'building data set'!G235</f>
        <v>0.53820000000000001</v>
      </c>
      <c r="H235">
        <f>'building data set'!H235</f>
        <v>2.2469999999999999</v>
      </c>
    </row>
    <row r="236" spans="1:8" x14ac:dyDescent="0.25">
      <c r="A236">
        <f>'building data set'!A236</f>
        <v>2009</v>
      </c>
      <c r="B236">
        <f>'building data set'!B236</f>
        <v>344</v>
      </c>
      <c r="C236" t="str">
        <f>'building data set'!C236</f>
        <v>Transp</v>
      </c>
      <c r="D236" t="str">
        <f>'building data set'!D236</f>
        <v>Sr. Sec.</v>
      </c>
      <c r="E236">
        <f>'building data set'!E236</f>
        <v>0.96666427532434462</v>
      </c>
      <c r="F236">
        <f>'building data set'!F236</f>
        <v>0.27842787804664387</v>
      </c>
      <c r="G236">
        <f>'building data set'!G236</f>
        <v>0.36450000000000005</v>
      </c>
      <c r="H236">
        <f>'building data set'!H236</f>
        <v>2.9630000000000001</v>
      </c>
    </row>
    <row r="237" spans="1:8" x14ac:dyDescent="0.25">
      <c r="A237">
        <f>'building data set'!A237</f>
        <v>2009</v>
      </c>
      <c r="B237">
        <f>'building data set'!B237</f>
        <v>346</v>
      </c>
      <c r="C237" t="str">
        <f>'building data set'!C237</f>
        <v>Media</v>
      </c>
      <c r="D237" t="str">
        <f>'building data set'!D237</f>
        <v>Sr. Unsec.</v>
      </c>
      <c r="E237">
        <f>'building data set'!E237</f>
        <v>0.99</v>
      </c>
      <c r="F237">
        <f>'building data set'!F237</f>
        <v>0.88556872400827624</v>
      </c>
      <c r="G237">
        <f>'building data set'!G237</f>
        <v>0.53820000000000001</v>
      </c>
      <c r="H237">
        <f>'building data set'!H237</f>
        <v>4.1470000000000002</v>
      </c>
    </row>
    <row r="238" spans="1:8" x14ac:dyDescent="0.25">
      <c r="A238">
        <f>'building data set'!A238</f>
        <v>2009</v>
      </c>
      <c r="B238">
        <f>'building data set'!B238</f>
        <v>347</v>
      </c>
      <c r="C238" t="str">
        <f>'building data set'!C238</f>
        <v>Retail</v>
      </c>
      <c r="D238" t="str">
        <f>'building data set'!D238</f>
        <v>Sr. Unsec.</v>
      </c>
      <c r="E238">
        <f>'building data set'!E238</f>
        <v>0.80023651341199875</v>
      </c>
      <c r="F238">
        <f>'building data set'!F238</f>
        <v>0.5286166011657677</v>
      </c>
      <c r="G238">
        <f>'building data set'!G238</f>
        <v>0.53820000000000001</v>
      </c>
      <c r="H238">
        <f>'building data set'!H238</f>
        <v>2.2469999999999999</v>
      </c>
    </row>
    <row r="239" spans="1:8" x14ac:dyDescent="0.25">
      <c r="A239">
        <f>'building data set'!A239</f>
        <v>2009</v>
      </c>
      <c r="B239">
        <f>'building data set'!B239</f>
        <v>349</v>
      </c>
      <c r="C239" t="str">
        <f>'building data set'!C239</f>
        <v>Transp</v>
      </c>
      <c r="D239" t="str">
        <f>'building data set'!D239</f>
        <v>Sr. Unsec.</v>
      </c>
      <c r="E239">
        <f>'building data set'!E239</f>
        <v>0.85680361959338192</v>
      </c>
      <c r="F239">
        <f>'building data set'!F239</f>
        <v>0.85950272907484193</v>
      </c>
      <c r="G239">
        <f>'building data set'!G239</f>
        <v>0.53820000000000001</v>
      </c>
      <c r="H239">
        <f>'building data set'!H239</f>
        <v>2.9630000000000001</v>
      </c>
    </row>
    <row r="240" spans="1:8" x14ac:dyDescent="0.25">
      <c r="A240">
        <f>'building data set'!A240</f>
        <v>2009</v>
      </c>
      <c r="B240">
        <f>'building data set'!B240</f>
        <v>351</v>
      </c>
      <c r="C240" t="str">
        <f>'building data set'!C240</f>
        <v>Cons G</v>
      </c>
      <c r="D240" t="str">
        <f>'building data set'!D240</f>
        <v>Sr. Unsec.</v>
      </c>
      <c r="E240">
        <f>'building data set'!E240</f>
        <v>0.70307803926467893</v>
      </c>
      <c r="F240">
        <f>'building data set'!F240</f>
        <v>0.15230984655413038</v>
      </c>
      <c r="G240">
        <f>'building data set'!G240</f>
        <v>0.53820000000000001</v>
      </c>
      <c r="H240">
        <f>'building data set'!H240</f>
        <v>3.7829999999999999</v>
      </c>
    </row>
    <row r="241" spans="1:8" x14ac:dyDescent="0.25">
      <c r="A241">
        <f>'building data set'!A241</f>
        <v>2009</v>
      </c>
      <c r="B241">
        <f>'building data set'!B241</f>
        <v>352</v>
      </c>
      <c r="C241" t="str">
        <f>'building data set'!C241</f>
        <v>Cons G</v>
      </c>
      <c r="D241" t="str">
        <f>'building data set'!D241</f>
        <v>Sr. Unsec.</v>
      </c>
      <c r="E241">
        <f>'building data set'!E241</f>
        <v>0.20905135177075873</v>
      </c>
      <c r="F241">
        <f>'building data set'!F241</f>
        <v>0.65999015478624501</v>
      </c>
      <c r="G241">
        <f>'building data set'!G241</f>
        <v>0.53820000000000001</v>
      </c>
      <c r="H241">
        <f>'building data set'!H241</f>
        <v>3.7829999999999999</v>
      </c>
    </row>
    <row r="242" spans="1:8" x14ac:dyDescent="0.25">
      <c r="A242">
        <f>'building data set'!A242</f>
        <v>2009</v>
      </c>
      <c r="B242">
        <f>'building data set'!B242</f>
        <v>353</v>
      </c>
      <c r="C242" t="str">
        <f>'building data set'!C242</f>
        <v>Media</v>
      </c>
      <c r="D242" t="str">
        <f>'building data set'!D242</f>
        <v>Sr. Unsec.</v>
      </c>
      <c r="E242">
        <f>'building data set'!E242</f>
        <v>0.53515243767738352</v>
      </c>
      <c r="F242">
        <f>'building data set'!F242</f>
        <v>0.89</v>
      </c>
      <c r="G242">
        <f>'building data set'!G242</f>
        <v>0.53820000000000001</v>
      </c>
      <c r="H242">
        <f>'building data set'!H242</f>
        <v>4.1470000000000002</v>
      </c>
    </row>
    <row r="243" spans="1:8" x14ac:dyDescent="0.25">
      <c r="A243">
        <f>'building data set'!A243</f>
        <v>2009</v>
      </c>
      <c r="B243">
        <f>'building data set'!B243</f>
        <v>358</v>
      </c>
      <c r="C243" t="str">
        <f>'building data set'!C243</f>
        <v>Retail</v>
      </c>
      <c r="D243" t="str">
        <f>'building data set'!D243</f>
        <v>Sr. Unsec.</v>
      </c>
      <c r="E243">
        <f>'building data set'!E243</f>
        <v>0.90810948919296264</v>
      </c>
      <c r="F243">
        <f>'building data set'!F243</f>
        <v>0.26327661251760698</v>
      </c>
      <c r="G243">
        <f>'building data set'!G243</f>
        <v>0.53820000000000001</v>
      </c>
      <c r="H243">
        <f>'building data set'!H243</f>
        <v>2.2469999999999999</v>
      </c>
    </row>
    <row r="244" spans="1:8" x14ac:dyDescent="0.25">
      <c r="A244">
        <f>'building data set'!A244</f>
        <v>2009</v>
      </c>
      <c r="B244">
        <f>'building data set'!B244</f>
        <v>359</v>
      </c>
      <c r="C244" t="str">
        <f>'building data set'!C244</f>
        <v>Media</v>
      </c>
      <c r="D244" t="str">
        <f>'building data set'!D244</f>
        <v>Sr. Unsec.</v>
      </c>
      <c r="E244">
        <f>'building data set'!E244</f>
        <v>0.01</v>
      </c>
      <c r="F244">
        <f>'building data set'!F244</f>
        <v>0.49649820800886935</v>
      </c>
      <c r="G244">
        <f>'building data set'!G244</f>
        <v>0.53820000000000001</v>
      </c>
      <c r="H244">
        <f>'building data set'!H244</f>
        <v>4.1470000000000002</v>
      </c>
    </row>
    <row r="245" spans="1:8" x14ac:dyDescent="0.25">
      <c r="A245">
        <f>'building data set'!A245</f>
        <v>2009</v>
      </c>
      <c r="B245">
        <f>'building data set'!B245</f>
        <v>360</v>
      </c>
      <c r="C245" t="str">
        <f>'building data set'!C245</f>
        <v>Retail</v>
      </c>
      <c r="D245" t="str">
        <f>'building data set'!D245</f>
        <v>Sub.</v>
      </c>
      <c r="E245">
        <f>'building data set'!E245</f>
        <v>0.1064265402954816</v>
      </c>
      <c r="F245">
        <f>'building data set'!F245</f>
        <v>0.43238411062561111</v>
      </c>
      <c r="G245">
        <f>'building data set'!G245</f>
        <v>0.71150000000000002</v>
      </c>
      <c r="H245">
        <f>'building data set'!H245</f>
        <v>2.2469999999999999</v>
      </c>
    </row>
    <row r="246" spans="1:8" x14ac:dyDescent="0.25">
      <c r="A246">
        <f>'building data set'!A246</f>
        <v>2009</v>
      </c>
      <c r="B246">
        <f>'building data set'!B246</f>
        <v>361</v>
      </c>
      <c r="C246" t="str">
        <f>'building data set'!C246</f>
        <v>Tech</v>
      </c>
      <c r="D246" t="str">
        <f>'building data set'!D246</f>
        <v>Sr. Sec.</v>
      </c>
      <c r="E246">
        <f>'building data set'!E246</f>
        <v>4.4815081080794461E-2</v>
      </c>
      <c r="F246">
        <f>'building data set'!F246</f>
        <v>0.78427238814233391</v>
      </c>
      <c r="G246">
        <f>'building data set'!G246</f>
        <v>0.36450000000000005</v>
      </c>
      <c r="H246">
        <f>'building data set'!H246</f>
        <v>1.1639999999999999</v>
      </c>
    </row>
    <row r="247" spans="1:8" x14ac:dyDescent="0.25">
      <c r="A247">
        <f>'building data set'!A247</f>
        <v>2009</v>
      </c>
      <c r="B247">
        <f>'building data set'!B247</f>
        <v>361</v>
      </c>
      <c r="C247" t="str">
        <f>'building data set'!C247</f>
        <v>Tech</v>
      </c>
      <c r="D247" t="str">
        <f>'building data set'!D247</f>
        <v>Sr. Sub.</v>
      </c>
      <c r="E247">
        <f>'building data set'!E247</f>
        <v>9.389274293184291E-2</v>
      </c>
      <c r="F247">
        <f>'building data set'!F247</f>
        <v>0.78427238814233391</v>
      </c>
      <c r="G247">
        <f>'building data set'!G247</f>
        <v>0.70330000000000004</v>
      </c>
      <c r="H247">
        <f>'building data set'!H247</f>
        <v>1.1639999999999999</v>
      </c>
    </row>
    <row r="248" spans="1:8" x14ac:dyDescent="0.25">
      <c r="A248">
        <f>'building data set'!A248</f>
        <v>2009</v>
      </c>
      <c r="B248">
        <f>'building data set'!B248</f>
        <v>362</v>
      </c>
      <c r="C248" t="str">
        <f>'building data set'!C248</f>
        <v>Transp</v>
      </c>
      <c r="D248" t="str">
        <f>'building data set'!D248</f>
        <v>Sr. Unsec.</v>
      </c>
      <c r="E248">
        <f>'building data set'!E248</f>
        <v>0.88519041690826417</v>
      </c>
      <c r="F248">
        <f>'building data set'!F248</f>
        <v>0.8602696664313787</v>
      </c>
      <c r="G248">
        <f>'building data set'!G248</f>
        <v>0.53820000000000001</v>
      </c>
      <c r="H248">
        <f>'building data set'!H248</f>
        <v>2.9630000000000001</v>
      </c>
    </row>
    <row r="249" spans="1:8" x14ac:dyDescent="0.25">
      <c r="A249">
        <f>'building data set'!A249</f>
        <v>2009</v>
      </c>
      <c r="B249">
        <f>'building data set'!B249</f>
        <v>363</v>
      </c>
      <c r="C249" t="str">
        <f>'building data set'!C249</f>
        <v>Retail</v>
      </c>
      <c r="D249" t="str">
        <f>'building data set'!D249</f>
        <v>Sr. Unsec.</v>
      </c>
      <c r="E249">
        <f>'building data set'!E249</f>
        <v>0.34757492375373833</v>
      </c>
      <c r="F249">
        <f>'building data set'!F249</f>
        <v>0.7078579789902919</v>
      </c>
      <c r="G249">
        <f>'building data set'!G249</f>
        <v>0.53820000000000001</v>
      </c>
      <c r="H249">
        <f>'building data set'!H249</f>
        <v>2.2469999999999999</v>
      </c>
    </row>
    <row r="250" spans="1:8" x14ac:dyDescent="0.25">
      <c r="A250">
        <f>'building data set'!A250</f>
        <v>2009</v>
      </c>
      <c r="B250">
        <f>'building data set'!B250</f>
        <v>363</v>
      </c>
      <c r="C250" t="str">
        <f>'building data set'!C250</f>
        <v>Retail</v>
      </c>
      <c r="D250" t="str">
        <f>'building data set'!D250</f>
        <v>Sr. Sub.</v>
      </c>
      <c r="E250">
        <f>'building data set'!E250</f>
        <v>0.86661755257844919</v>
      </c>
      <c r="F250">
        <f>'building data set'!F250</f>
        <v>0.7078579789902919</v>
      </c>
      <c r="G250">
        <f>'building data set'!G250</f>
        <v>0.70330000000000004</v>
      </c>
      <c r="H250">
        <f>'building data set'!H250</f>
        <v>2.2469999999999999</v>
      </c>
    </row>
    <row r="251" spans="1:8" x14ac:dyDescent="0.25">
      <c r="A251">
        <f>'building data set'!A251</f>
        <v>2009</v>
      </c>
      <c r="B251">
        <f>'building data set'!B251</f>
        <v>364</v>
      </c>
      <c r="C251" t="str">
        <f>'building data set'!C251</f>
        <v>Cons G</v>
      </c>
      <c r="D251" t="str">
        <f>'building data set'!D251</f>
        <v>Sr. Unsec.</v>
      </c>
      <c r="E251">
        <f>'building data set'!E251</f>
        <v>0.94011936599195001</v>
      </c>
      <c r="F251">
        <f>'building data set'!F251</f>
        <v>0.57186613101325878</v>
      </c>
      <c r="G251">
        <f>'building data set'!G251</f>
        <v>0.53820000000000001</v>
      </c>
      <c r="H251">
        <f>'building data set'!H251</f>
        <v>3.7829999999999999</v>
      </c>
    </row>
    <row r="252" spans="1:8" x14ac:dyDescent="0.25">
      <c r="A252">
        <f>'building data set'!A252</f>
        <v>2009</v>
      </c>
      <c r="B252">
        <f>'building data set'!B252</f>
        <v>365</v>
      </c>
      <c r="C252" t="str">
        <f>'building data set'!C252</f>
        <v>Cons G</v>
      </c>
      <c r="D252" t="str">
        <f>'building data set'!D252</f>
        <v>Sr. Sub.</v>
      </c>
      <c r="E252">
        <f>'building data set'!E252</f>
        <v>0.49475931880474089</v>
      </c>
      <c r="F252">
        <f>'building data set'!F252</f>
        <v>0.38282746358703185</v>
      </c>
      <c r="G252">
        <f>'building data set'!G252</f>
        <v>0.70330000000000004</v>
      </c>
      <c r="H252">
        <f>'building data set'!H252</f>
        <v>3.7829999999999999</v>
      </c>
    </row>
    <row r="253" spans="1:8" x14ac:dyDescent="0.25">
      <c r="A253">
        <f>'building data set'!A253</f>
        <v>2009</v>
      </c>
      <c r="B253">
        <f>'building data set'!B253</f>
        <v>367</v>
      </c>
      <c r="C253" t="str">
        <f>'building data set'!C253</f>
        <v>Tech</v>
      </c>
      <c r="D253" t="str">
        <f>'building data set'!D253</f>
        <v>Sr. Sec.</v>
      </c>
      <c r="E253">
        <f>'building data set'!E253</f>
        <v>0.83732212998270983</v>
      </c>
      <c r="F253">
        <f>'building data set'!F253</f>
        <v>0.27879191796414449</v>
      </c>
      <c r="G253">
        <f>'building data set'!G253</f>
        <v>0.36450000000000005</v>
      </c>
      <c r="H253">
        <f>'building data set'!H253</f>
        <v>1.1639999999999999</v>
      </c>
    </row>
    <row r="254" spans="1:8" x14ac:dyDescent="0.25">
      <c r="A254">
        <f>'building data set'!A254</f>
        <v>2009</v>
      </c>
      <c r="B254">
        <f>'building data set'!B254</f>
        <v>371</v>
      </c>
      <c r="C254" t="str">
        <f>'building data set'!C254</f>
        <v>Retail</v>
      </c>
      <c r="D254" t="str">
        <f>'building data set'!D254</f>
        <v>Sr. Unsec.</v>
      </c>
      <c r="E254">
        <f>'building data set'!E254</f>
        <v>0.78473769719898701</v>
      </c>
      <c r="F254">
        <f>'building data set'!F254</f>
        <v>0.88912010439962941</v>
      </c>
      <c r="G254">
        <f>'building data set'!G254</f>
        <v>0.53820000000000001</v>
      </c>
      <c r="H254">
        <f>'building data set'!H254</f>
        <v>2.2469999999999999</v>
      </c>
    </row>
    <row r="255" spans="1:8" x14ac:dyDescent="0.25">
      <c r="A255">
        <f>'building data set'!A255</f>
        <v>2009</v>
      </c>
      <c r="B255">
        <f>'building data set'!B255</f>
        <v>371</v>
      </c>
      <c r="C255" t="str">
        <f>'building data set'!C255</f>
        <v>Retail</v>
      </c>
      <c r="D255" t="str">
        <f>'building data set'!D255</f>
        <v>Sr. Sub.</v>
      </c>
      <c r="E255">
        <f>'building data set'!E255</f>
        <v>0.94286120855808253</v>
      </c>
      <c r="F255">
        <f>'building data set'!F255</f>
        <v>0.88912010439962941</v>
      </c>
      <c r="G255">
        <f>'building data set'!G255</f>
        <v>0.70330000000000004</v>
      </c>
      <c r="H255">
        <f>'building data set'!H255</f>
        <v>2.2469999999999999</v>
      </c>
    </row>
    <row r="256" spans="1:8" x14ac:dyDescent="0.25">
      <c r="A256">
        <f>'building data set'!A256</f>
        <v>2009</v>
      </c>
      <c r="B256">
        <f>'building data set'!B256</f>
        <v>373</v>
      </c>
      <c r="C256" t="str">
        <f>'building data set'!C256</f>
        <v>Transp</v>
      </c>
      <c r="D256" t="str">
        <f>'building data set'!D256</f>
        <v>Sr. Unsec.</v>
      </c>
      <c r="E256">
        <f>'building data set'!E256</f>
        <v>0.45680370292663586</v>
      </c>
      <c r="F256">
        <f>'building data set'!F256</f>
        <v>0.43408230532687303</v>
      </c>
      <c r="G256">
        <f>'building data set'!G256</f>
        <v>0.53820000000000001</v>
      </c>
      <c r="H256">
        <f>'building data set'!H256</f>
        <v>2.9630000000000001</v>
      </c>
    </row>
    <row r="257" spans="1:8" x14ac:dyDescent="0.25">
      <c r="A257">
        <f>'building data set'!A257</f>
        <v>2009</v>
      </c>
      <c r="B257">
        <f>'building data set'!B257</f>
        <v>374</v>
      </c>
      <c r="C257" t="str">
        <f>'building data set'!C257</f>
        <v>Retail</v>
      </c>
      <c r="D257" t="str">
        <f>'building data set'!D257</f>
        <v>Sub.</v>
      </c>
      <c r="E257">
        <f>'building data set'!E257</f>
        <v>0.98092117155790326</v>
      </c>
      <c r="F257">
        <f>'building data set'!F257</f>
        <v>0.63373316103335098</v>
      </c>
      <c r="G257">
        <f>'building data set'!G257</f>
        <v>0.71150000000000002</v>
      </c>
      <c r="H257">
        <f>'building data set'!H257</f>
        <v>2.2469999999999999</v>
      </c>
    </row>
    <row r="258" spans="1:8" x14ac:dyDescent="0.25">
      <c r="A258">
        <f>'building data set'!A258</f>
        <v>2009</v>
      </c>
      <c r="B258">
        <f>'building data set'!B258</f>
        <v>375</v>
      </c>
      <c r="C258" t="str">
        <f>'building data set'!C258</f>
        <v>Media</v>
      </c>
      <c r="D258" t="str">
        <f>'building data set'!D258</f>
        <v>Sub.</v>
      </c>
      <c r="E258">
        <f>'building data set'!E258</f>
        <v>0.95201916438341139</v>
      </c>
      <c r="F258">
        <f>'building data set'!F258</f>
        <v>0.72747476738196326</v>
      </c>
      <c r="G258">
        <f>'building data set'!G258</f>
        <v>0.71150000000000002</v>
      </c>
      <c r="H258">
        <f>'building data set'!H258</f>
        <v>4.1470000000000002</v>
      </c>
    </row>
    <row r="259" spans="1:8" x14ac:dyDescent="0.25">
      <c r="A259">
        <f>'building data set'!A259</f>
        <v>2009</v>
      </c>
      <c r="B259">
        <f>'building data set'!B259</f>
        <v>376</v>
      </c>
      <c r="C259" t="str">
        <f>'building data set'!C259</f>
        <v>Retail</v>
      </c>
      <c r="D259" t="str">
        <f>'building data set'!D259</f>
        <v>Sr. Unsec.</v>
      </c>
      <c r="E259">
        <f>'building data set'!E259</f>
        <v>0.22625576134324077</v>
      </c>
      <c r="F259">
        <f>'building data set'!F259</f>
        <v>0.38796052863253327</v>
      </c>
      <c r="G259">
        <f>'building data set'!G259</f>
        <v>0.53820000000000001</v>
      </c>
      <c r="H259">
        <f>'building data set'!H259</f>
        <v>2.2469999999999999</v>
      </c>
    </row>
    <row r="260" spans="1:8" x14ac:dyDescent="0.25">
      <c r="A260">
        <f>'building data set'!A260</f>
        <v>2009</v>
      </c>
      <c r="B260">
        <f>'building data set'!B260</f>
        <v>377</v>
      </c>
      <c r="C260" t="str">
        <f>'building data set'!C260</f>
        <v>Tech</v>
      </c>
      <c r="D260" t="str">
        <f>'building data set'!D260</f>
        <v>Sr. Sub.</v>
      </c>
      <c r="E260">
        <f>'building data set'!E260</f>
        <v>0.96573652245521546</v>
      </c>
      <c r="F260">
        <f>'building data set'!F260</f>
        <v>0.51099417420659754</v>
      </c>
      <c r="G260">
        <f>'building data set'!G260</f>
        <v>0.70330000000000004</v>
      </c>
      <c r="H260">
        <f>'building data set'!H260</f>
        <v>1.1639999999999999</v>
      </c>
    </row>
    <row r="261" spans="1:8" x14ac:dyDescent="0.25">
      <c r="A261">
        <f>'building data set'!A261</f>
        <v>2009</v>
      </c>
      <c r="B261">
        <f>'building data set'!B261</f>
        <v>378</v>
      </c>
      <c r="C261" t="str">
        <f>'building data set'!C261</f>
        <v>Transp</v>
      </c>
      <c r="D261" t="str">
        <f>'building data set'!D261</f>
        <v>Sr. Unsec.</v>
      </c>
      <c r="E261">
        <f>'building data set'!E261</f>
        <v>0.60189073845267305</v>
      </c>
      <c r="F261">
        <f>'building data set'!F261</f>
        <v>0.2635472241507642</v>
      </c>
      <c r="G261">
        <f>'building data set'!G261</f>
        <v>0.53820000000000001</v>
      </c>
      <c r="H261">
        <f>'building data set'!H261</f>
        <v>2.9630000000000001</v>
      </c>
    </row>
    <row r="262" spans="1:8" x14ac:dyDescent="0.25">
      <c r="A262">
        <f>'building data set'!A262</f>
        <v>2009</v>
      </c>
      <c r="B262">
        <f>'building data set'!B262</f>
        <v>379</v>
      </c>
      <c r="C262" t="str">
        <f>'building data set'!C262</f>
        <v>Retail</v>
      </c>
      <c r="D262" t="str">
        <f>'building data set'!D262</f>
        <v>Sub.</v>
      </c>
      <c r="E262">
        <f>'building data set'!E262</f>
        <v>0.12357387948870657</v>
      </c>
      <c r="F262">
        <f>'building data set'!F262</f>
        <v>0.65727629181247493</v>
      </c>
      <c r="G262">
        <f>'building data set'!G262</f>
        <v>0.71150000000000002</v>
      </c>
      <c r="H262">
        <f>'building data set'!H262</f>
        <v>2.2469999999999999</v>
      </c>
    </row>
    <row r="263" spans="1:8" x14ac:dyDescent="0.25">
      <c r="A263">
        <f>'building data set'!A263</f>
        <v>2009</v>
      </c>
      <c r="B263">
        <f>'building data set'!B263</f>
        <v>380</v>
      </c>
      <c r="C263" t="str">
        <f>'building data set'!C263</f>
        <v>Cons G</v>
      </c>
      <c r="D263" t="str">
        <f>'building data set'!D263</f>
        <v>Sr. Unsec.</v>
      </c>
      <c r="E263">
        <f>'building data set'!E263</f>
        <v>0.32080336864948278</v>
      </c>
      <c r="F263">
        <f>'building data set'!F263</f>
        <v>0.66162113579716153</v>
      </c>
      <c r="G263">
        <f>'building data set'!G263</f>
        <v>0.53820000000000001</v>
      </c>
      <c r="H263">
        <f>'building data set'!H263</f>
        <v>3.7829999999999999</v>
      </c>
    </row>
    <row r="264" spans="1:8" x14ac:dyDescent="0.25">
      <c r="A264">
        <f>'building data set'!A264</f>
        <v>2009</v>
      </c>
      <c r="B264">
        <f>'building data set'!B264</f>
        <v>380</v>
      </c>
      <c r="C264" t="str">
        <f>'building data set'!C264</f>
        <v>Cons G</v>
      </c>
      <c r="D264" t="str">
        <f>'building data set'!D264</f>
        <v>Sub.</v>
      </c>
      <c r="E264">
        <f>'building data set'!E264</f>
        <v>0.73831400333344932</v>
      </c>
      <c r="F264">
        <f>'building data set'!F264</f>
        <v>0.66162113579716153</v>
      </c>
      <c r="G264">
        <f>'building data set'!G264</f>
        <v>0.71150000000000002</v>
      </c>
      <c r="H264">
        <f>'building data set'!H264</f>
        <v>3.7829999999999999</v>
      </c>
    </row>
    <row r="265" spans="1:8" x14ac:dyDescent="0.25">
      <c r="A265">
        <f>'building data set'!A265</f>
        <v>2009</v>
      </c>
      <c r="B265">
        <f>'building data set'!B265</f>
        <v>383</v>
      </c>
      <c r="C265" t="str">
        <f>'building data set'!C265</f>
        <v>Tech</v>
      </c>
      <c r="D265" t="str">
        <f>'building data set'!D265</f>
        <v>Sr. Unsec.</v>
      </c>
      <c r="E265">
        <f>'building data set'!E265</f>
        <v>0.51683621197223673</v>
      </c>
      <c r="F265">
        <f>'building data set'!F265</f>
        <v>0.29443248187978632</v>
      </c>
      <c r="G265">
        <f>'building data set'!G265</f>
        <v>0.53820000000000001</v>
      </c>
      <c r="H265">
        <f>'building data set'!H265</f>
        <v>1.1639999999999999</v>
      </c>
    </row>
    <row r="266" spans="1:8" x14ac:dyDescent="0.25">
      <c r="A266">
        <f>'building data set'!A266</f>
        <v>2009</v>
      </c>
      <c r="B266">
        <f>'building data set'!B266</f>
        <v>384</v>
      </c>
      <c r="C266" t="str">
        <f>'building data set'!C266</f>
        <v>Cap Ind</v>
      </c>
      <c r="D266" t="str">
        <f>'building data set'!D266</f>
        <v>Sr. Unsec.</v>
      </c>
      <c r="E266">
        <f>'building data set'!E266</f>
        <v>0.64276520416140559</v>
      </c>
      <c r="F266">
        <f>'building data set'!F266</f>
        <v>0.74933162634638362</v>
      </c>
      <c r="G266">
        <f>'building data set'!G266</f>
        <v>0.53820000000000001</v>
      </c>
      <c r="H266">
        <f>'building data set'!H266</f>
        <v>3.0710000000000002</v>
      </c>
    </row>
    <row r="267" spans="1:8" x14ac:dyDescent="0.25">
      <c r="A267">
        <f>'building data set'!A267</f>
        <v>2009</v>
      </c>
      <c r="B267">
        <f>'building data set'!B267</f>
        <v>386</v>
      </c>
      <c r="C267" t="str">
        <f>'building data set'!C267</f>
        <v>Retail</v>
      </c>
      <c r="D267" t="str">
        <f>'building data set'!D267</f>
        <v>Sr. Unsec.</v>
      </c>
      <c r="E267">
        <f>'building data set'!E267</f>
        <v>0.90086044161319734</v>
      </c>
      <c r="F267">
        <f>'building data set'!F267</f>
        <v>0.2157220223224087</v>
      </c>
      <c r="G267">
        <f>'building data set'!G267</f>
        <v>0.53820000000000001</v>
      </c>
      <c r="H267">
        <f>'building data set'!H267</f>
        <v>2.2469999999999999</v>
      </c>
    </row>
    <row r="268" spans="1:8" x14ac:dyDescent="0.25">
      <c r="A268">
        <f>'building data set'!A268</f>
        <v>2009</v>
      </c>
      <c r="B268">
        <f>'building data set'!B268</f>
        <v>387</v>
      </c>
      <c r="C268" t="str">
        <f>'building data set'!C268</f>
        <v>Tech</v>
      </c>
      <c r="D268" t="str">
        <f>'building data set'!D268</f>
        <v>Sr. Unsec.</v>
      </c>
      <c r="E268">
        <f>'building data set'!E268</f>
        <v>0.99</v>
      </c>
      <c r="F268">
        <f>'building data set'!F268</f>
        <v>0.70400566630307149</v>
      </c>
      <c r="G268">
        <f>'building data set'!G268</f>
        <v>0.53820000000000001</v>
      </c>
      <c r="H268">
        <f>'building data set'!H268</f>
        <v>1.1639999999999999</v>
      </c>
    </row>
    <row r="269" spans="1:8" x14ac:dyDescent="0.25">
      <c r="A269">
        <f>'building data set'!A269</f>
        <v>2009</v>
      </c>
      <c r="B269">
        <f>'building data set'!B269</f>
        <v>389</v>
      </c>
      <c r="C269" t="str">
        <f>'building data set'!C269</f>
        <v>Cons G</v>
      </c>
      <c r="D269" t="str">
        <f>'building data set'!D269</f>
        <v>Sr. Unsec.</v>
      </c>
      <c r="E269">
        <f>'building data set'!E269</f>
        <v>0.97801503514111043</v>
      </c>
      <c r="F269">
        <f>'building data set'!F269</f>
        <v>0.41033124213439331</v>
      </c>
      <c r="G269">
        <f>'building data set'!G269</f>
        <v>0.53820000000000001</v>
      </c>
      <c r="H269">
        <f>'building data set'!H269</f>
        <v>3.7829999999999999</v>
      </c>
    </row>
    <row r="270" spans="1:8" x14ac:dyDescent="0.25">
      <c r="A270">
        <f>'building data set'!A270</f>
        <v>2009</v>
      </c>
      <c r="B270">
        <f>'building data set'!B270</f>
        <v>390</v>
      </c>
      <c r="C270" t="str">
        <f>'building data set'!C270</f>
        <v>Tech</v>
      </c>
      <c r="D270" t="str">
        <f>'building data set'!D270</f>
        <v>Sr. Unsec.</v>
      </c>
      <c r="E270">
        <f>'building data set'!E270</f>
        <v>0.42209384719431409</v>
      </c>
      <c r="F270">
        <f>'building data set'!F270</f>
        <v>0.31096274236329674</v>
      </c>
      <c r="G270">
        <f>'building data set'!G270</f>
        <v>0.53820000000000001</v>
      </c>
      <c r="H270">
        <f>'building data set'!H270</f>
        <v>1.1639999999999999</v>
      </c>
    </row>
    <row r="271" spans="1:8" x14ac:dyDescent="0.25">
      <c r="A271">
        <f>'building data set'!A271</f>
        <v>2009</v>
      </c>
      <c r="B271">
        <f>'building data set'!B271</f>
        <v>390</v>
      </c>
      <c r="C271" t="str">
        <f>'building data set'!C271</f>
        <v>Tech</v>
      </c>
      <c r="D271" t="str">
        <f>'building data set'!D271</f>
        <v>Sr. Sub.</v>
      </c>
      <c r="E271">
        <f>'building data set'!E271</f>
        <v>0.53694779936671266</v>
      </c>
      <c r="F271">
        <f>'building data set'!F271</f>
        <v>0.31096274236329674</v>
      </c>
      <c r="G271">
        <f>'building data set'!G271</f>
        <v>0.70330000000000004</v>
      </c>
      <c r="H271">
        <f>'building data set'!H271</f>
        <v>1.1639999999999999</v>
      </c>
    </row>
    <row r="272" spans="1:8" x14ac:dyDescent="0.25">
      <c r="A272">
        <f>'building data set'!A272</f>
        <v>2009</v>
      </c>
      <c r="B272">
        <f>'building data set'!B272</f>
        <v>391</v>
      </c>
      <c r="C272" t="str">
        <f>'building data set'!C272</f>
        <v>Transp</v>
      </c>
      <c r="D272" t="str">
        <f>'building data set'!D272</f>
        <v>Sr. Unsec.</v>
      </c>
      <c r="E272">
        <f>'building data set'!E272</f>
        <v>0.13689371609687806</v>
      </c>
      <c r="F272">
        <f>'building data set'!F272</f>
        <v>0.28673200557218081</v>
      </c>
      <c r="G272">
        <f>'building data set'!G272</f>
        <v>0.53820000000000001</v>
      </c>
      <c r="H272">
        <f>'building data set'!H272</f>
        <v>2.9630000000000001</v>
      </c>
    </row>
    <row r="273" spans="1:8" x14ac:dyDescent="0.25">
      <c r="A273">
        <f>'building data set'!A273</f>
        <v>2009</v>
      </c>
      <c r="B273">
        <f>'building data set'!B273</f>
        <v>392</v>
      </c>
      <c r="C273" t="str">
        <f>'building data set'!C273</f>
        <v>Media</v>
      </c>
      <c r="D273" t="str">
        <f>'building data set'!D273</f>
        <v>Sr. Unsec.</v>
      </c>
      <c r="E273">
        <f>'building data set'!E273</f>
        <v>0.11106657668948172</v>
      </c>
      <c r="F273">
        <f>'building data set'!F273</f>
        <v>9.9664482237793034E-2</v>
      </c>
      <c r="G273">
        <f>'building data set'!G273</f>
        <v>0.53820000000000001</v>
      </c>
      <c r="H273">
        <f>'building data set'!H273</f>
        <v>4.1470000000000002</v>
      </c>
    </row>
    <row r="274" spans="1:8" x14ac:dyDescent="0.25">
      <c r="A274">
        <f>'building data set'!A274</f>
        <v>2009</v>
      </c>
      <c r="B274">
        <f>'building data set'!B274</f>
        <v>394</v>
      </c>
      <c r="C274" t="str">
        <f>'building data set'!C274</f>
        <v>Retail</v>
      </c>
      <c r="D274" t="str">
        <f>'building data set'!D274</f>
        <v>Sr. Unsec.</v>
      </c>
      <c r="E274">
        <f>'building data set'!E274</f>
        <v>0.39909116290807733</v>
      </c>
      <c r="F274">
        <f>'building data set'!F274</f>
        <v>9.678995646694917E-2</v>
      </c>
      <c r="G274">
        <f>'building data set'!G274</f>
        <v>0.53820000000000001</v>
      </c>
      <c r="H274">
        <f>'building data set'!H274</f>
        <v>2.2469999999999999</v>
      </c>
    </row>
    <row r="275" spans="1:8" x14ac:dyDescent="0.25">
      <c r="A275">
        <f>'building data set'!A275</f>
        <v>2009</v>
      </c>
      <c r="B275">
        <f>'building data set'!B275</f>
        <v>395</v>
      </c>
      <c r="C275" t="str">
        <f>'building data set'!C275</f>
        <v>Tech</v>
      </c>
      <c r="D275" t="str">
        <f>'building data set'!D275</f>
        <v>Sr. Unsec.</v>
      </c>
      <c r="E275">
        <f>'building data set'!E275</f>
        <v>0.4598123176884652</v>
      </c>
      <c r="F275">
        <f>'building data set'!F275</f>
        <v>0.54032434139996532</v>
      </c>
      <c r="G275">
        <f>'building data set'!G275</f>
        <v>0.53820000000000001</v>
      </c>
      <c r="H275">
        <f>'building data set'!H275</f>
        <v>1.1639999999999999</v>
      </c>
    </row>
    <row r="276" spans="1:8" x14ac:dyDescent="0.25">
      <c r="A276">
        <f>'building data set'!A276</f>
        <v>2009</v>
      </c>
      <c r="B276">
        <f>'building data set'!B276</f>
        <v>397</v>
      </c>
      <c r="C276" t="str">
        <f>'building data set'!C276</f>
        <v>Retail</v>
      </c>
      <c r="D276" t="str">
        <f>'building data set'!D276</f>
        <v>Sr. Unsec.</v>
      </c>
      <c r="E276">
        <f>'building data set'!E276</f>
        <v>0.17569727358818066</v>
      </c>
      <c r="F276">
        <f>'building data set'!F276</f>
        <v>0.36620354009352379</v>
      </c>
      <c r="G276">
        <f>'building data set'!G276</f>
        <v>0.53820000000000001</v>
      </c>
      <c r="H276">
        <f>'building data set'!H276</f>
        <v>2.2469999999999999</v>
      </c>
    </row>
    <row r="277" spans="1:8" x14ac:dyDescent="0.25">
      <c r="A277">
        <f>'building data set'!A277</f>
        <v>2009</v>
      </c>
      <c r="B277">
        <f>'building data set'!B277</f>
        <v>398</v>
      </c>
      <c r="C277" t="str">
        <f>'building data set'!C277</f>
        <v>Media</v>
      </c>
      <c r="D277" t="str">
        <f>'building data set'!D277</f>
        <v>Sr. Unsec.</v>
      </c>
      <c r="E277">
        <f>'building data set'!E277</f>
        <v>0.14688390462696554</v>
      </c>
      <c r="F277">
        <f>'building data set'!F277</f>
        <v>0.37882085751779726</v>
      </c>
      <c r="G277">
        <f>'building data set'!G277</f>
        <v>0.53820000000000001</v>
      </c>
      <c r="H277">
        <f>'building data set'!H277</f>
        <v>4.1470000000000002</v>
      </c>
    </row>
    <row r="278" spans="1:8" x14ac:dyDescent="0.25">
      <c r="A278">
        <f>'building data set'!A278</f>
        <v>2009</v>
      </c>
      <c r="B278">
        <f>'building data set'!B278</f>
        <v>399</v>
      </c>
      <c r="C278" t="str">
        <f>'building data set'!C278</f>
        <v>Retail</v>
      </c>
      <c r="D278" t="str">
        <f>'building data set'!D278</f>
        <v>Sr. Sec.</v>
      </c>
      <c r="E278">
        <f>'building data set'!E278</f>
        <v>0.91377030686140059</v>
      </c>
      <c r="F278">
        <f>'building data set'!F278</f>
        <v>0.24209187537345095</v>
      </c>
      <c r="G278">
        <f>'building data set'!G278</f>
        <v>0.36450000000000005</v>
      </c>
      <c r="H278">
        <f>'building data set'!H278</f>
        <v>2.2469999999999999</v>
      </c>
    </row>
    <row r="279" spans="1:8" x14ac:dyDescent="0.25">
      <c r="A279">
        <f>'building data set'!A279</f>
        <v>2009</v>
      </c>
      <c r="B279">
        <f>'building data set'!B279</f>
        <v>400</v>
      </c>
      <c r="C279" t="str">
        <f>'building data set'!C279</f>
        <v>Cons G</v>
      </c>
      <c r="D279" t="str">
        <f>'building data set'!D279</f>
        <v>Sr. Unsec.</v>
      </c>
      <c r="E279">
        <f>'building data set'!E279</f>
        <v>0.98947122612416749</v>
      </c>
      <c r="F279">
        <f>'building data set'!F279</f>
        <v>0.72362715072366335</v>
      </c>
      <c r="G279">
        <f>'building data set'!G279</f>
        <v>0.53820000000000001</v>
      </c>
      <c r="H279">
        <f>'building data set'!H279</f>
        <v>3.7829999999999999</v>
      </c>
    </row>
    <row r="280" spans="1:8" x14ac:dyDescent="0.25">
      <c r="A280">
        <f>'building data set'!A280</f>
        <v>2009</v>
      </c>
      <c r="B280">
        <f>'building data set'!B280</f>
        <v>401</v>
      </c>
      <c r="C280" t="str">
        <f>'building data set'!C280</f>
        <v>Transp</v>
      </c>
      <c r="D280" t="str">
        <f>'building data set'!D280</f>
        <v>Sr. Unsec.</v>
      </c>
      <c r="E280">
        <f>'building data set'!E280</f>
        <v>0.90675463732719419</v>
      </c>
      <c r="F280">
        <f>'building data set'!F280</f>
        <v>0.37327743147361359</v>
      </c>
      <c r="G280">
        <f>'building data set'!G280</f>
        <v>0.53820000000000001</v>
      </c>
      <c r="H280">
        <f>'building data set'!H280</f>
        <v>2.9630000000000001</v>
      </c>
    </row>
    <row r="281" spans="1:8" x14ac:dyDescent="0.25">
      <c r="A281">
        <f>'building data set'!A281</f>
        <v>2009</v>
      </c>
      <c r="B281">
        <f>'building data set'!B281</f>
        <v>403</v>
      </c>
      <c r="C281" t="str">
        <f>'building data set'!C281</f>
        <v>Cons G</v>
      </c>
      <c r="D281" t="str">
        <f>'building data set'!D281</f>
        <v>Sr. Unsec.</v>
      </c>
      <c r="E281">
        <f>'building data set'!E281</f>
        <v>0.45253682114183913</v>
      </c>
      <c r="F281">
        <f>'building data set'!F281</f>
        <v>0.36976482851212733</v>
      </c>
      <c r="G281">
        <f>'building data set'!G281</f>
        <v>0.53820000000000001</v>
      </c>
      <c r="H281">
        <f>'building data set'!H281</f>
        <v>3.7829999999999999</v>
      </c>
    </row>
    <row r="282" spans="1:8" x14ac:dyDescent="0.25">
      <c r="A282">
        <f>'building data set'!A282</f>
        <v>2009</v>
      </c>
      <c r="B282">
        <f>'building data set'!B282</f>
        <v>404</v>
      </c>
      <c r="C282" t="str">
        <f>'building data set'!C282</f>
        <v>Cons G</v>
      </c>
      <c r="D282" t="str">
        <f>'building data set'!D282</f>
        <v>Sr. Unsec.</v>
      </c>
      <c r="E282">
        <f>'building data set'!E282</f>
        <v>0.79086454966783526</v>
      </c>
      <c r="F282">
        <f>'building data set'!F282</f>
        <v>0.51479124073544247</v>
      </c>
      <c r="G282">
        <f>'building data set'!G282</f>
        <v>0.53820000000000001</v>
      </c>
      <c r="H282">
        <f>'building data set'!H282</f>
        <v>3.7829999999999999</v>
      </c>
    </row>
    <row r="283" spans="1:8" x14ac:dyDescent="0.25">
      <c r="A283">
        <f>'building data set'!A283</f>
        <v>2009</v>
      </c>
      <c r="B283">
        <f>'building data set'!B283</f>
        <v>405</v>
      </c>
      <c r="C283" t="str">
        <f>'building data set'!C283</f>
        <v>Media</v>
      </c>
      <c r="D283" t="str">
        <f>'building data set'!D283</f>
        <v>Sr. Sec.</v>
      </c>
      <c r="E283">
        <f>'building data set'!E283</f>
        <v>0.67414141379594805</v>
      </c>
      <c r="F283">
        <f>'building data set'!F283</f>
        <v>0.25251668797765114</v>
      </c>
      <c r="G283">
        <f>'building data set'!G283</f>
        <v>0.36450000000000005</v>
      </c>
      <c r="H283">
        <f>'building data set'!H283</f>
        <v>4.1470000000000002</v>
      </c>
    </row>
    <row r="284" spans="1:8" x14ac:dyDescent="0.25">
      <c r="A284">
        <f>'building data set'!A284</f>
        <v>2009</v>
      </c>
      <c r="B284">
        <f>'building data set'!B284</f>
        <v>406</v>
      </c>
      <c r="C284" t="str">
        <f>'building data set'!C284</f>
        <v>Media</v>
      </c>
      <c r="D284" t="str">
        <f>'building data set'!D284</f>
        <v>Sr. Sub.</v>
      </c>
      <c r="E284">
        <f>'building data set'!E284</f>
        <v>0.74862628505945206</v>
      </c>
      <c r="F284">
        <f>'building data set'!F284</f>
        <v>0.93661450752239472</v>
      </c>
      <c r="G284">
        <f>'building data set'!G284</f>
        <v>0.70330000000000004</v>
      </c>
      <c r="H284">
        <f>'building data set'!H284</f>
        <v>4.1470000000000002</v>
      </c>
    </row>
    <row r="285" spans="1:8" x14ac:dyDescent="0.25">
      <c r="A285">
        <f>'building data set'!A285</f>
        <v>2009</v>
      </c>
      <c r="B285">
        <f>'building data set'!B285</f>
        <v>407</v>
      </c>
      <c r="C285" t="str">
        <f>'building data set'!C285</f>
        <v>Media</v>
      </c>
      <c r="D285" t="str">
        <f>'building data set'!D285</f>
        <v>Sr. Sub.</v>
      </c>
      <c r="E285">
        <f>'building data set'!E285</f>
        <v>0.89202999738395217</v>
      </c>
      <c r="F285">
        <f>'building data set'!F285</f>
        <v>0.38679686313942307</v>
      </c>
      <c r="G285">
        <f>'building data set'!G285</f>
        <v>0.70330000000000004</v>
      </c>
      <c r="H285">
        <f>'building data set'!H285</f>
        <v>4.1470000000000002</v>
      </c>
    </row>
    <row r="286" spans="1:8" x14ac:dyDescent="0.25">
      <c r="A286">
        <f>'building data set'!A286</f>
        <v>2009</v>
      </c>
      <c r="B286">
        <f>'building data set'!B286</f>
        <v>410</v>
      </c>
      <c r="C286" t="str">
        <f>'building data set'!C286</f>
        <v>Retail</v>
      </c>
      <c r="D286" t="str">
        <f>'building data set'!D286</f>
        <v>Sr. Unsec.</v>
      </c>
      <c r="E286">
        <f>'building data set'!E286</f>
        <v>0.79821458527684208</v>
      </c>
      <c r="F286">
        <f>'building data set'!F286</f>
        <v>0.53537654777010557</v>
      </c>
      <c r="G286">
        <f>'building data set'!G286</f>
        <v>0.53820000000000001</v>
      </c>
      <c r="H286">
        <f>'building data set'!H286</f>
        <v>2.2469999999999999</v>
      </c>
    </row>
    <row r="287" spans="1:8" x14ac:dyDescent="0.25">
      <c r="A287">
        <f>'building data set'!A287</f>
        <v>2009</v>
      </c>
      <c r="B287">
        <f>'building data set'!B287</f>
        <v>411</v>
      </c>
      <c r="C287" t="str">
        <f>'building data set'!C287</f>
        <v>Transp</v>
      </c>
      <c r="D287" t="str">
        <f>'building data set'!D287</f>
        <v>Sr. Unsec.</v>
      </c>
      <c r="E287">
        <f>'building data set'!E287</f>
        <v>0.70047562533318997</v>
      </c>
      <c r="F287">
        <f>'building data set'!F287</f>
        <v>0.78914397449979667</v>
      </c>
      <c r="G287">
        <f>'building data set'!G287</f>
        <v>0.53820000000000001</v>
      </c>
      <c r="H287">
        <f>'building data set'!H287</f>
        <v>2.9630000000000001</v>
      </c>
    </row>
    <row r="288" spans="1:8" x14ac:dyDescent="0.25">
      <c r="A288">
        <f>'building data set'!A288</f>
        <v>2009</v>
      </c>
      <c r="B288">
        <f>'building data set'!B288</f>
        <v>412</v>
      </c>
      <c r="C288" t="str">
        <f>'building data set'!C288</f>
        <v>Cap Ind</v>
      </c>
      <c r="D288" t="str">
        <f>'building data set'!D288</f>
        <v>Sub.</v>
      </c>
      <c r="E288">
        <f>'building data set'!E288</f>
        <v>0.82939570184707645</v>
      </c>
      <c r="F288">
        <f>'building data set'!F288</f>
        <v>0.24369102342038579</v>
      </c>
      <c r="G288">
        <f>'building data set'!G288</f>
        <v>0.71150000000000002</v>
      </c>
      <c r="H288">
        <f>'building data set'!H288</f>
        <v>3.0710000000000002</v>
      </c>
    </row>
    <row r="289" spans="1:8" x14ac:dyDescent="0.25">
      <c r="A289">
        <f>'building data set'!A289</f>
        <v>2009</v>
      </c>
      <c r="B289">
        <f>'building data set'!B289</f>
        <v>413</v>
      </c>
      <c r="C289" t="str">
        <f>'building data set'!C289</f>
        <v>Media</v>
      </c>
      <c r="D289" t="str">
        <f>'building data set'!D289</f>
        <v>Sr. Unsec.</v>
      </c>
      <c r="E289">
        <f>'building data set'!E289</f>
        <v>0.93302867408394818</v>
      </c>
      <c r="F289">
        <f>'building data set'!F289</f>
        <v>0.54617077839772732</v>
      </c>
      <c r="G289">
        <f>'building data set'!G289</f>
        <v>0.53820000000000001</v>
      </c>
      <c r="H289">
        <f>'building data set'!H289</f>
        <v>4.1470000000000002</v>
      </c>
    </row>
    <row r="290" spans="1:8" x14ac:dyDescent="0.25">
      <c r="A290">
        <f>'building data set'!A290</f>
        <v>2009</v>
      </c>
      <c r="B290">
        <f>'building data set'!B290</f>
        <v>414</v>
      </c>
      <c r="C290" t="str">
        <f>'building data set'!C290</f>
        <v>Media</v>
      </c>
      <c r="D290" t="str">
        <f>'building data set'!D290</f>
        <v>Sr. Unsec.</v>
      </c>
      <c r="E290">
        <f>'building data set'!E290</f>
        <v>0.86114298671007161</v>
      </c>
      <c r="F290">
        <f>'building data set'!F290</f>
        <v>0.42958320573077252</v>
      </c>
      <c r="G290">
        <f>'building data set'!G290</f>
        <v>0.53820000000000001</v>
      </c>
      <c r="H290">
        <f>'building data set'!H290</f>
        <v>4.1470000000000002</v>
      </c>
    </row>
    <row r="291" spans="1:8" x14ac:dyDescent="0.25">
      <c r="A291">
        <f>'building data set'!A291</f>
        <v>2009</v>
      </c>
      <c r="B291">
        <f>'building data set'!B291</f>
        <v>415</v>
      </c>
      <c r="C291" t="str">
        <f>'building data set'!C291</f>
        <v>Retail</v>
      </c>
      <c r="D291" t="str">
        <f>'building data set'!D291</f>
        <v>Sr. Sub.</v>
      </c>
      <c r="E291">
        <f>'building data set'!E291</f>
        <v>0.67394284448921682</v>
      </c>
      <c r="F291">
        <f>'building data set'!F291</f>
        <v>0.5834591548917909</v>
      </c>
      <c r="G291">
        <f>'building data set'!G291</f>
        <v>0.70330000000000004</v>
      </c>
      <c r="H291">
        <f>'building data set'!H291</f>
        <v>2.2469999999999999</v>
      </c>
    </row>
    <row r="292" spans="1:8" x14ac:dyDescent="0.25">
      <c r="A292">
        <f>'building data set'!A292</f>
        <v>2009</v>
      </c>
      <c r="B292">
        <f>'building data set'!B292</f>
        <v>416</v>
      </c>
      <c r="C292" t="str">
        <f>'building data set'!C292</f>
        <v>Retail</v>
      </c>
      <c r="D292" t="str">
        <f>'building data set'!D292</f>
        <v>Sr. Sec.</v>
      </c>
      <c r="E292">
        <f>'building data set'!E292</f>
        <v>0.90460531538724898</v>
      </c>
      <c r="F292">
        <f>'building data set'!F292</f>
        <v>0.35115993600084372</v>
      </c>
      <c r="G292">
        <f>'building data set'!G292</f>
        <v>0.36450000000000005</v>
      </c>
      <c r="H292">
        <f>'building data set'!H292</f>
        <v>2.2469999999999999</v>
      </c>
    </row>
    <row r="293" spans="1:8" x14ac:dyDescent="0.25">
      <c r="A293">
        <f>'building data set'!A293</f>
        <v>2009</v>
      </c>
      <c r="B293">
        <f>'building data set'!B293</f>
        <v>416</v>
      </c>
      <c r="C293" t="str">
        <f>'building data set'!C293</f>
        <v>Retail</v>
      </c>
      <c r="D293" t="str">
        <f>'building data set'!D293</f>
        <v>Sr. Sub.</v>
      </c>
      <c r="E293">
        <f>'building data set'!E293</f>
        <v>0.97812757903814318</v>
      </c>
      <c r="F293">
        <f>'building data set'!F293</f>
        <v>0.35115993600084372</v>
      </c>
      <c r="G293">
        <f>'building data set'!G293</f>
        <v>0.70330000000000004</v>
      </c>
      <c r="H293">
        <f>'building data set'!H293</f>
        <v>2.2469999999999999</v>
      </c>
    </row>
    <row r="294" spans="1:8" x14ac:dyDescent="0.25">
      <c r="A294">
        <f>'building data set'!A294</f>
        <v>2009</v>
      </c>
      <c r="B294">
        <f>'building data set'!B294</f>
        <v>417</v>
      </c>
      <c r="C294" t="str">
        <f>'building data set'!C294</f>
        <v>Transp</v>
      </c>
      <c r="D294" t="str">
        <f>'building data set'!D294</f>
        <v>Sr. Sub.</v>
      </c>
      <c r="E294">
        <f>'building data set'!E294</f>
        <v>0.66493259435892105</v>
      </c>
      <c r="F294">
        <f>'building data set'!F294</f>
        <v>0.81180396797977517</v>
      </c>
      <c r="G294">
        <f>'building data set'!G294</f>
        <v>0.70330000000000004</v>
      </c>
      <c r="H294">
        <f>'building data set'!H294</f>
        <v>2.9630000000000001</v>
      </c>
    </row>
    <row r="295" spans="1:8" x14ac:dyDescent="0.25">
      <c r="A295">
        <f>'building data set'!A295</f>
        <v>2009</v>
      </c>
      <c r="B295">
        <f>'building data set'!B295</f>
        <v>420</v>
      </c>
      <c r="C295" t="str">
        <f>'building data set'!C295</f>
        <v>Cons G</v>
      </c>
      <c r="D295" t="str">
        <f>'building data set'!D295</f>
        <v>Sr. Sub.</v>
      </c>
      <c r="E295">
        <f>'building data set'!E295</f>
        <v>0.72005828959703444</v>
      </c>
      <c r="F295">
        <f>'building data set'!F295</f>
        <v>0.57924094749792743</v>
      </c>
      <c r="G295">
        <f>'building data set'!G295</f>
        <v>0.70330000000000004</v>
      </c>
      <c r="H295">
        <f>'building data set'!H295</f>
        <v>3.7829999999999999</v>
      </c>
    </row>
    <row r="296" spans="1:8" x14ac:dyDescent="0.25">
      <c r="A296">
        <f>'building data set'!A296</f>
        <v>2009</v>
      </c>
      <c r="B296">
        <f>'building data set'!B296</f>
        <v>421</v>
      </c>
      <c r="C296" t="str">
        <f>'building data set'!C296</f>
        <v>Energy</v>
      </c>
      <c r="D296" t="str">
        <f>'building data set'!D296</f>
        <v>Sr. Unsec.</v>
      </c>
      <c r="E296">
        <f>'building data set'!E296</f>
        <v>0.39594857270240791</v>
      </c>
      <c r="F296">
        <f>'building data set'!F296</f>
        <v>0.23510426518982808</v>
      </c>
      <c r="G296">
        <f>'building data set'!G296</f>
        <v>0.53820000000000001</v>
      </c>
      <c r="H296">
        <f>'building data set'!H296</f>
        <v>1.835</v>
      </c>
    </row>
    <row r="297" spans="1:8" x14ac:dyDescent="0.25">
      <c r="A297">
        <f>'building data set'!A297</f>
        <v>2009</v>
      </c>
      <c r="B297">
        <f>'building data set'!B297</f>
        <v>422</v>
      </c>
      <c r="C297" t="str">
        <f>'building data set'!C297</f>
        <v>Cons G</v>
      </c>
      <c r="D297" t="str">
        <f>'building data set'!D297</f>
        <v>Sr. Sub.</v>
      </c>
      <c r="E297">
        <f>'building data set'!E297</f>
        <v>0.97144811509847639</v>
      </c>
      <c r="F297">
        <f>'building data set'!F297</f>
        <v>0.40272134639530943</v>
      </c>
      <c r="G297">
        <f>'building data set'!G297</f>
        <v>0.70330000000000004</v>
      </c>
      <c r="H297">
        <f>'building data set'!H297</f>
        <v>3.7829999999999999</v>
      </c>
    </row>
    <row r="298" spans="1:8" x14ac:dyDescent="0.25">
      <c r="A298">
        <f>'building data set'!A298</f>
        <v>2009</v>
      </c>
      <c r="B298">
        <f>'building data set'!B298</f>
        <v>422</v>
      </c>
      <c r="C298" t="str">
        <f>'building data set'!C298</f>
        <v>Cons G</v>
      </c>
      <c r="D298" t="str">
        <f>'building data set'!D298</f>
        <v>Sub.</v>
      </c>
      <c r="E298">
        <f>'building data set'!E298</f>
        <v>0.99</v>
      </c>
      <c r="F298">
        <f>'building data set'!F298</f>
        <v>0.40272134639530943</v>
      </c>
      <c r="G298">
        <f>'building data set'!G298</f>
        <v>0.71150000000000002</v>
      </c>
      <c r="H298">
        <f>'building data set'!H298</f>
        <v>3.7829999999999999</v>
      </c>
    </row>
    <row r="299" spans="1:8" x14ac:dyDescent="0.25">
      <c r="A299">
        <f>'building data set'!A299</f>
        <v>2009</v>
      </c>
      <c r="B299">
        <f>'building data set'!B299</f>
        <v>424</v>
      </c>
      <c r="C299" t="str">
        <f>'building data set'!C299</f>
        <v>Tech</v>
      </c>
      <c r="D299" t="str">
        <f>'building data set'!D299</f>
        <v>Sr. Sec.</v>
      </c>
      <c r="E299">
        <f>'building data set'!E299</f>
        <v>0.32902808469533928</v>
      </c>
      <c r="F299">
        <f>'building data set'!F299</f>
        <v>0.42056816169763911</v>
      </c>
      <c r="G299">
        <f>'building data set'!G299</f>
        <v>0.36450000000000005</v>
      </c>
      <c r="H299">
        <f>'building data set'!H299</f>
        <v>1.1639999999999999</v>
      </c>
    </row>
    <row r="300" spans="1:8" x14ac:dyDescent="0.25">
      <c r="A300">
        <f>'building data set'!A300</f>
        <v>2009</v>
      </c>
      <c r="B300">
        <f>'building data set'!B300</f>
        <v>425</v>
      </c>
      <c r="C300" t="str">
        <f>'building data set'!C300</f>
        <v>Transp</v>
      </c>
      <c r="D300" t="str">
        <f>'building data set'!D300</f>
        <v>Sr. Sub.</v>
      </c>
      <c r="E300">
        <f>'building data set'!E300</f>
        <v>0.83681874606609341</v>
      </c>
      <c r="F300">
        <f>'building data set'!F300</f>
        <v>0.45937742314148589</v>
      </c>
      <c r="G300">
        <f>'building data set'!G300</f>
        <v>0.70330000000000004</v>
      </c>
      <c r="H300">
        <f>'building data set'!H300</f>
        <v>2.9630000000000001</v>
      </c>
    </row>
    <row r="301" spans="1:8" x14ac:dyDescent="0.25">
      <c r="A301">
        <f>'building data set'!A301</f>
        <v>2009</v>
      </c>
      <c r="B301">
        <f>'building data set'!B301</f>
        <v>426</v>
      </c>
      <c r="C301" t="str">
        <f>'building data set'!C301</f>
        <v>Media</v>
      </c>
      <c r="D301" t="str">
        <f>'building data set'!D301</f>
        <v>Sr. Sub.</v>
      </c>
      <c r="E301">
        <f>'building data set'!E301</f>
        <v>0.94174716738641262</v>
      </c>
      <c r="F301">
        <f>'building data set'!F301</f>
        <v>0.22370268298926882</v>
      </c>
      <c r="G301">
        <f>'building data set'!G301</f>
        <v>0.70330000000000004</v>
      </c>
      <c r="H301">
        <f>'building data set'!H301</f>
        <v>4.1470000000000002</v>
      </c>
    </row>
    <row r="302" spans="1:8" x14ac:dyDescent="0.25">
      <c r="A302">
        <f>'building data set'!A302</f>
        <v>2009</v>
      </c>
      <c r="B302">
        <f>'building data set'!B302</f>
        <v>427</v>
      </c>
      <c r="C302" t="str">
        <f>'building data set'!C302</f>
        <v>Cap Ind</v>
      </c>
      <c r="D302" t="str">
        <f>'building data set'!D302</f>
        <v>Sr. Unsec.</v>
      </c>
      <c r="E302">
        <f>'building data set'!E302</f>
        <v>0.81332003553509713</v>
      </c>
      <c r="F302">
        <f>'building data set'!F302</f>
        <v>0.33598906432431858</v>
      </c>
      <c r="G302">
        <f>'building data set'!G302</f>
        <v>0.53820000000000001</v>
      </c>
      <c r="H302">
        <f>'building data set'!H302</f>
        <v>3.0710000000000002</v>
      </c>
    </row>
    <row r="303" spans="1:8" x14ac:dyDescent="0.25">
      <c r="A303">
        <f>'building data set'!A303</f>
        <v>2009</v>
      </c>
      <c r="B303">
        <f>'building data set'!B303</f>
        <v>429</v>
      </c>
      <c r="C303" t="str">
        <f>'building data set'!C303</f>
        <v>Tech</v>
      </c>
      <c r="D303" t="str">
        <f>'building data set'!D303</f>
        <v>Sr. Sec.</v>
      </c>
      <c r="E303">
        <f>'building data set'!E303</f>
        <v>0.60861715112984183</v>
      </c>
      <c r="F303">
        <f>'building data set'!F303</f>
        <v>0.91617196132059298</v>
      </c>
      <c r="G303">
        <f>'building data set'!G303</f>
        <v>0.36450000000000005</v>
      </c>
      <c r="H303">
        <f>'building data set'!H303</f>
        <v>1.1639999999999999</v>
      </c>
    </row>
    <row r="304" spans="1:8" x14ac:dyDescent="0.25">
      <c r="A304">
        <f>'building data set'!A304</f>
        <v>2009</v>
      </c>
      <c r="B304">
        <f>'building data set'!B304</f>
        <v>430</v>
      </c>
      <c r="C304" t="str">
        <f>'building data set'!C304</f>
        <v>Transp</v>
      </c>
      <c r="D304" t="str">
        <f>'building data set'!D304</f>
        <v>Sr. Unsec.</v>
      </c>
      <c r="E304">
        <f>'building data set'!E304</f>
        <v>0.84883729082107551</v>
      </c>
      <c r="F304">
        <f>'building data set'!F304</f>
        <v>0.21785293847142356</v>
      </c>
      <c r="G304">
        <f>'building data set'!G304</f>
        <v>0.53820000000000001</v>
      </c>
      <c r="H304">
        <f>'building data set'!H304</f>
        <v>2.9630000000000001</v>
      </c>
    </row>
    <row r="305" spans="1:8" x14ac:dyDescent="0.25">
      <c r="A305">
        <f>'building data set'!A305</f>
        <v>2009</v>
      </c>
      <c r="B305">
        <f>'building data set'!B305</f>
        <v>431</v>
      </c>
      <c r="C305" t="str">
        <f>'building data set'!C305</f>
        <v>Retail</v>
      </c>
      <c r="D305" t="str">
        <f>'building data set'!D305</f>
        <v>Sr. Unsec.</v>
      </c>
      <c r="E305">
        <f>'building data set'!E305</f>
        <v>0.93340069661736491</v>
      </c>
      <c r="F305">
        <f>'building data set'!F305</f>
        <v>0.60324383641744472</v>
      </c>
      <c r="G305">
        <f>'building data set'!G305</f>
        <v>0.53820000000000001</v>
      </c>
      <c r="H305">
        <f>'building data set'!H305</f>
        <v>2.2469999999999999</v>
      </c>
    </row>
    <row r="306" spans="1:8" x14ac:dyDescent="0.25">
      <c r="A306">
        <f>'building data set'!A306</f>
        <v>2009</v>
      </c>
      <c r="B306">
        <f>'building data set'!B306</f>
        <v>432</v>
      </c>
      <c r="C306" t="str">
        <f>'building data set'!C306</f>
        <v>Media</v>
      </c>
      <c r="D306" t="str">
        <f>'building data set'!D306</f>
        <v>Sr. Unsec.</v>
      </c>
      <c r="E306">
        <f>'building data set'!E306</f>
        <v>0.98656320883512494</v>
      </c>
      <c r="F306">
        <f>'building data set'!F306</f>
        <v>0.23844340166327446</v>
      </c>
      <c r="G306">
        <f>'building data set'!G306</f>
        <v>0.53820000000000001</v>
      </c>
      <c r="H306">
        <f>'building data set'!H306</f>
        <v>4.1470000000000002</v>
      </c>
    </row>
    <row r="307" spans="1:8" x14ac:dyDescent="0.25">
      <c r="A307">
        <f>'building data set'!A307</f>
        <v>2009</v>
      </c>
      <c r="B307">
        <f>'building data set'!B307</f>
        <v>433</v>
      </c>
      <c r="C307" t="str">
        <f>'building data set'!C307</f>
        <v>Cons G</v>
      </c>
      <c r="D307" t="str">
        <f>'building data set'!D307</f>
        <v>Sr. Unsec.</v>
      </c>
      <c r="E307">
        <f>'building data set'!E307</f>
        <v>0.22312359634160994</v>
      </c>
      <c r="F307">
        <f>'building data set'!F307</f>
        <v>0.19352768757885314</v>
      </c>
      <c r="G307">
        <f>'building data set'!G307</f>
        <v>0.53820000000000001</v>
      </c>
      <c r="H307">
        <f>'building data set'!H307</f>
        <v>3.7829999999999999</v>
      </c>
    </row>
    <row r="308" spans="1:8" x14ac:dyDescent="0.25">
      <c r="A308">
        <f>'building data set'!A308</f>
        <v>2009</v>
      </c>
      <c r="B308">
        <f>'building data set'!B308</f>
        <v>433</v>
      </c>
      <c r="C308" t="str">
        <f>'building data set'!C308</f>
        <v>Cons G</v>
      </c>
      <c r="D308" t="str">
        <f>'building data set'!D308</f>
        <v>Sr. Sub.</v>
      </c>
      <c r="E308">
        <f>'building data set'!E308</f>
        <v>0.56960786878764624</v>
      </c>
      <c r="F308">
        <f>'building data set'!F308</f>
        <v>0.19352768757885314</v>
      </c>
      <c r="G308">
        <f>'building data set'!G308</f>
        <v>0.70330000000000004</v>
      </c>
      <c r="H308">
        <f>'building data set'!H308</f>
        <v>3.7829999999999999</v>
      </c>
    </row>
    <row r="309" spans="1:8" x14ac:dyDescent="0.25">
      <c r="A309">
        <f>'building data set'!A309</f>
        <v>2009</v>
      </c>
      <c r="B309">
        <f>'building data set'!B309</f>
        <v>434</v>
      </c>
      <c r="C309" t="str">
        <f>'building data set'!C309</f>
        <v>Media</v>
      </c>
      <c r="D309" t="str">
        <f>'building data set'!D309</f>
        <v>Sr. Sub.</v>
      </c>
      <c r="E309">
        <f>'building data set'!E309</f>
        <v>0.71347668892145166</v>
      </c>
      <c r="F309">
        <f>'building data set'!F309</f>
        <v>0.80560474625843836</v>
      </c>
      <c r="G309">
        <f>'building data set'!G309</f>
        <v>0.70330000000000004</v>
      </c>
      <c r="H309">
        <f>'building data set'!H309</f>
        <v>4.1470000000000002</v>
      </c>
    </row>
    <row r="310" spans="1:8" x14ac:dyDescent="0.25">
      <c r="A310">
        <f>'building data set'!A310</f>
        <v>2009</v>
      </c>
      <c r="B310">
        <f>'building data set'!B310</f>
        <v>435</v>
      </c>
      <c r="C310" t="str">
        <f>'building data set'!C310</f>
        <v>Media</v>
      </c>
      <c r="D310" t="str">
        <f>'building data set'!D310</f>
        <v>Sr. Unsec.</v>
      </c>
      <c r="E310">
        <f>'building data set'!E310</f>
        <v>0.66546670871973035</v>
      </c>
      <c r="F310">
        <f>'building data set'!F310</f>
        <v>0.33545556635133167</v>
      </c>
      <c r="G310">
        <f>'building data set'!G310</f>
        <v>0.53820000000000001</v>
      </c>
      <c r="H310">
        <f>'building data set'!H310</f>
        <v>4.1470000000000002</v>
      </c>
    </row>
    <row r="311" spans="1:8" x14ac:dyDescent="0.25">
      <c r="A311">
        <f>'building data set'!A311</f>
        <v>2009</v>
      </c>
      <c r="B311">
        <f>'building data set'!B311</f>
        <v>436</v>
      </c>
      <c r="C311" t="str">
        <f>'building data set'!C311</f>
        <v>Retail</v>
      </c>
      <c r="D311" t="str">
        <f>'building data set'!D311</f>
        <v>Sr. Unsec.</v>
      </c>
      <c r="E311">
        <f>'building data set'!E311</f>
        <v>0.40580793209373955</v>
      </c>
      <c r="F311">
        <f>'building data set'!F311</f>
        <v>0.44963105555271604</v>
      </c>
      <c r="G311">
        <f>'building data set'!G311</f>
        <v>0.53820000000000001</v>
      </c>
      <c r="H311">
        <f>'building data set'!H311</f>
        <v>2.2469999999999999</v>
      </c>
    </row>
    <row r="312" spans="1:8" x14ac:dyDescent="0.25">
      <c r="A312">
        <f>'building data set'!A312</f>
        <v>2009</v>
      </c>
      <c r="B312">
        <f>'building data set'!B312</f>
        <v>437</v>
      </c>
      <c r="C312" t="str">
        <f>'building data set'!C312</f>
        <v>Tech</v>
      </c>
      <c r="D312" t="str">
        <f>'building data set'!D312</f>
        <v>Sr. Unsec.</v>
      </c>
      <c r="E312">
        <f>'building data set'!E312</f>
        <v>0.27363625454902651</v>
      </c>
      <c r="F312">
        <f>'building data set'!F312</f>
        <v>0.56244521561048766</v>
      </c>
      <c r="G312">
        <f>'building data set'!G312</f>
        <v>0.53820000000000001</v>
      </c>
      <c r="H312">
        <f>'building data set'!H312</f>
        <v>1.1639999999999999</v>
      </c>
    </row>
    <row r="313" spans="1:8" x14ac:dyDescent="0.25">
      <c r="A313">
        <f>'building data set'!A313</f>
        <v>2009</v>
      </c>
      <c r="B313">
        <f>'building data set'!B313</f>
        <v>438</v>
      </c>
      <c r="C313" t="str">
        <f>'building data set'!C313</f>
        <v>Transp</v>
      </c>
      <c r="D313" t="str">
        <f>'building data set'!D313</f>
        <v>Sr. Unsec.</v>
      </c>
      <c r="E313">
        <f>'building data set'!E313</f>
        <v>0.32151876230001464</v>
      </c>
      <c r="F313">
        <f>'building data set'!F313</f>
        <v>0.13149667786033031</v>
      </c>
      <c r="G313">
        <f>'building data set'!G313</f>
        <v>0.53820000000000001</v>
      </c>
      <c r="H313">
        <f>'building data set'!H313</f>
        <v>2.9630000000000001</v>
      </c>
    </row>
    <row r="314" spans="1:8" x14ac:dyDescent="0.25">
      <c r="A314">
        <f>'building data set'!A314</f>
        <v>2009</v>
      </c>
      <c r="B314">
        <f>'building data set'!B314</f>
        <v>439</v>
      </c>
      <c r="C314" t="str">
        <f>'building data set'!C314</f>
        <v>Cons G</v>
      </c>
      <c r="D314" t="str">
        <f>'building data set'!D314</f>
        <v>Sr. Unsec.</v>
      </c>
      <c r="E314">
        <f>'building data set'!E314</f>
        <v>0.99</v>
      </c>
      <c r="F314">
        <f>'building data set'!F314</f>
        <v>0.2703988854062313</v>
      </c>
      <c r="G314">
        <f>'building data set'!G314</f>
        <v>0.53820000000000001</v>
      </c>
      <c r="H314">
        <f>'building data set'!H314</f>
        <v>3.7829999999999999</v>
      </c>
    </row>
    <row r="315" spans="1:8" x14ac:dyDescent="0.25">
      <c r="A315">
        <f>'building data set'!A315</f>
        <v>2009</v>
      </c>
      <c r="B315">
        <f>'building data set'!B315</f>
        <v>439</v>
      </c>
      <c r="C315" t="str">
        <f>'building data set'!C315</f>
        <v>Cons G</v>
      </c>
      <c r="D315" t="str">
        <f>'building data set'!D315</f>
        <v>Sr. Sub.</v>
      </c>
      <c r="E315">
        <f>'building data set'!E315</f>
        <v>0.99</v>
      </c>
      <c r="F315">
        <f>'building data set'!F315</f>
        <v>0.2703988854062313</v>
      </c>
      <c r="G315">
        <f>'building data set'!G315</f>
        <v>0.70330000000000004</v>
      </c>
      <c r="H315">
        <f>'building data set'!H315</f>
        <v>3.7829999999999999</v>
      </c>
    </row>
    <row r="316" spans="1:8" x14ac:dyDescent="0.25">
      <c r="A316">
        <f>'building data set'!A316</f>
        <v>2009</v>
      </c>
      <c r="B316">
        <f>'building data set'!B316</f>
        <v>441</v>
      </c>
      <c r="C316" t="str">
        <f>'building data set'!C316</f>
        <v>Retail</v>
      </c>
      <c r="D316" t="str">
        <f>'building data set'!D316</f>
        <v>Sr. Unsec.</v>
      </c>
      <c r="E316">
        <f>'building data set'!E316</f>
        <v>0.61800208950042723</v>
      </c>
      <c r="F316">
        <f>'building data set'!F316</f>
        <v>0.24225793738965759</v>
      </c>
      <c r="G316">
        <f>'building data set'!G316</f>
        <v>0.53820000000000001</v>
      </c>
      <c r="H316">
        <f>'building data set'!H316</f>
        <v>2.2469999999999999</v>
      </c>
    </row>
    <row r="317" spans="1:8" x14ac:dyDescent="0.25">
      <c r="A317">
        <f>'building data set'!A317</f>
        <v>2009</v>
      </c>
      <c r="B317">
        <f>'building data set'!B317</f>
        <v>445</v>
      </c>
      <c r="C317" t="str">
        <f>'building data set'!C317</f>
        <v>Cap Ind</v>
      </c>
      <c r="D317" t="str">
        <f>'building data set'!D317</f>
        <v>Sr. Unsec.</v>
      </c>
      <c r="E317">
        <f>'building data set'!E317</f>
        <v>0.90121015389144421</v>
      </c>
      <c r="F317">
        <f>'building data set'!F317</f>
        <v>0.88480253786615271</v>
      </c>
      <c r="G317">
        <f>'building data set'!G317</f>
        <v>0.53820000000000001</v>
      </c>
      <c r="H317">
        <f>'building data set'!H317</f>
        <v>3.0710000000000002</v>
      </c>
    </row>
    <row r="318" spans="1:8" x14ac:dyDescent="0.25">
      <c r="A318">
        <f>'building data set'!A318</f>
        <v>2009</v>
      </c>
      <c r="B318">
        <f>'building data set'!B318</f>
        <v>446</v>
      </c>
      <c r="C318" t="str">
        <f>'building data set'!C318</f>
        <v>Cons G</v>
      </c>
      <c r="D318" t="str">
        <f>'building data set'!D318</f>
        <v>Sr. Sec.</v>
      </c>
      <c r="E318">
        <f>'building data set'!E318</f>
        <v>0.74825554385721682</v>
      </c>
      <c r="F318">
        <f>'building data set'!F318</f>
        <v>0.60745281868200707</v>
      </c>
      <c r="G318">
        <f>'building data set'!G318</f>
        <v>0.36450000000000005</v>
      </c>
      <c r="H318">
        <f>'building data set'!H318</f>
        <v>3.7829999999999999</v>
      </c>
    </row>
  </sheetData>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318"/>
  <sheetViews>
    <sheetView workbookViewId="0">
      <selection activeCell="L24" sqref="L24"/>
    </sheetView>
  </sheetViews>
  <sheetFormatPr defaultRowHeight="15" x14ac:dyDescent="0.25"/>
  <cols>
    <col min="11" max="13" width="9.5703125" bestFit="1" customWidth="1"/>
    <col min="14" max="14" width="10.28515625" bestFit="1" customWidth="1"/>
  </cols>
  <sheetData>
    <row r="1" spans="1:14" x14ac:dyDescent="0.25">
      <c r="A1" t="str">
        <f>regression!A1</f>
        <v>Year</v>
      </c>
      <c r="B1" t="str">
        <f>regression!B1</f>
        <v>ID</v>
      </c>
      <c r="C1" t="str">
        <f>regression!C1</f>
        <v>Industry</v>
      </c>
      <c r="D1" t="str">
        <f>regression!D1</f>
        <v>Type</v>
      </c>
      <c r="E1" t="str">
        <f>regression!E1</f>
        <v>LGD</v>
      </c>
      <c r="F1" t="str">
        <f>regression!F1</f>
        <v>LEV</v>
      </c>
      <c r="G1" t="str">
        <f>regression!G1</f>
        <v>LGD_A</v>
      </c>
      <c r="H1" t="str">
        <f>regression!H1</f>
        <v>I_DEF</v>
      </c>
      <c r="I1" t="s">
        <v>26</v>
      </c>
      <c r="K1" t="str">
        <f>H1</f>
        <v>I_DEF</v>
      </c>
      <c r="L1" t="str">
        <f>G1</f>
        <v>LGD_A</v>
      </c>
      <c r="M1" t="str">
        <f>F1</f>
        <v>LEV</v>
      </c>
      <c r="N1" t="s">
        <v>21</v>
      </c>
    </row>
    <row r="2" spans="1:14" x14ac:dyDescent="0.25">
      <c r="A2">
        <f>regression!A2</f>
        <v>2007</v>
      </c>
      <c r="B2">
        <f>regression!B2</f>
        <v>1</v>
      </c>
      <c r="C2" t="str">
        <f>regression!C2</f>
        <v>Media</v>
      </c>
      <c r="D2" t="str">
        <f>regression!D2</f>
        <v>Sr. Unsec.</v>
      </c>
      <c r="E2">
        <f>regression!E2</f>
        <v>0.74757345077395443</v>
      </c>
      <c r="F2">
        <f>regression!F2</f>
        <v>0.4139897858986048</v>
      </c>
      <c r="G2">
        <f>regression!G2</f>
        <v>0.62609999999999999</v>
      </c>
      <c r="H2">
        <f>regression!H2</f>
        <v>1.415</v>
      </c>
      <c r="I2">
        <f>NORMSINV(BETADIST(E2,L$14,L$15))</f>
        <v>8.0434680040254669E-2</v>
      </c>
      <c r="J2" s="10" t="s">
        <v>22</v>
      </c>
      <c r="K2" s="2">
        <f t="array" ref="K2:N4">clinest(I2:I318,F2:H318,B2:B318)</f>
        <v>8.8312783469574746E-2</v>
      </c>
      <c r="L2" s="2">
        <v>2.0173742988054215</v>
      </c>
      <c r="M2" s="2">
        <v>0.51153310580359279</v>
      </c>
      <c r="N2" s="2">
        <v>-1.6854068905627595</v>
      </c>
    </row>
    <row r="3" spans="1:14" x14ac:dyDescent="0.25">
      <c r="A3">
        <f>regression!A3</f>
        <v>2007</v>
      </c>
      <c r="B3">
        <f>regression!B3</f>
        <v>1</v>
      </c>
      <c r="C3" t="str">
        <f>regression!C3</f>
        <v>Media</v>
      </c>
      <c r="D3" t="str">
        <f>regression!D3</f>
        <v>Sub.</v>
      </c>
      <c r="E3">
        <f>regression!E3</f>
        <v>0.99</v>
      </c>
      <c r="F3">
        <f>regression!F3</f>
        <v>0.4139897858986048</v>
      </c>
      <c r="G3">
        <f>regression!G3</f>
        <v>0.68489999999999995</v>
      </c>
      <c r="H3">
        <f>regression!H3</f>
        <v>1.415</v>
      </c>
      <c r="I3">
        <f t="shared" ref="I3:I66" si="0">NORMSINV(BETADIST(E3,L$14,L$15))</f>
        <v>1.4954060676963419</v>
      </c>
      <c r="J3" s="10" t="s">
        <v>23</v>
      </c>
      <c r="K3" s="2">
        <v>4.6747659669140247E-2</v>
      </c>
      <c r="L3" s="2">
        <v>0.52597681777022642</v>
      </c>
      <c r="M3" s="2">
        <v>0.22570819686601457</v>
      </c>
      <c r="N3" s="2">
        <v>0.34598055191225086</v>
      </c>
    </row>
    <row r="4" spans="1:14" x14ac:dyDescent="0.25">
      <c r="A4">
        <f>regression!A4</f>
        <v>2007</v>
      </c>
      <c r="B4">
        <f>regression!B4</f>
        <v>2</v>
      </c>
      <c r="C4" t="str">
        <f>regression!C4</f>
        <v>Retail</v>
      </c>
      <c r="D4" t="str">
        <f>regression!D4</f>
        <v>Sr. Sec.</v>
      </c>
      <c r="E4">
        <f>regression!E4</f>
        <v>6.5810750338203716E-2</v>
      </c>
      <c r="F4">
        <f>regression!F4</f>
        <v>0.23036114242977343</v>
      </c>
      <c r="G4">
        <f>regression!G4</f>
        <v>0.45660000000000001</v>
      </c>
      <c r="H4">
        <f>regression!H4</f>
        <v>1.1830000000000001</v>
      </c>
      <c r="I4">
        <f t="shared" si="0"/>
        <v>-1.9218252198489403</v>
      </c>
      <c r="J4" s="10" t="s">
        <v>24</v>
      </c>
      <c r="K4">
        <v>7.8216578072214618E-2</v>
      </c>
      <c r="L4">
        <v>0.90792578905135979</v>
      </c>
      <c r="M4" t="e">
        <v>#N/A</v>
      </c>
      <c r="N4" t="e">
        <v>#N/A</v>
      </c>
    </row>
    <row r="5" spans="1:14" x14ac:dyDescent="0.25">
      <c r="A5">
        <f>regression!A5</f>
        <v>2007</v>
      </c>
      <c r="B5">
        <f>regression!B5</f>
        <v>3</v>
      </c>
      <c r="C5" t="str">
        <f>regression!C5</f>
        <v>Transp</v>
      </c>
      <c r="D5" t="str">
        <f>regression!D5</f>
        <v>Sr. Unsec.</v>
      </c>
      <c r="E5">
        <f>regression!E5</f>
        <v>0.35128799169906799</v>
      </c>
      <c r="F5">
        <f>regression!F5</f>
        <v>0.54133930867264546</v>
      </c>
      <c r="G5">
        <f>regression!G5</f>
        <v>0.62609999999999999</v>
      </c>
      <c r="H5">
        <f>regression!H5</f>
        <v>2.3530000000000002</v>
      </c>
      <c r="I5">
        <f t="shared" si="0"/>
        <v>-0.86086407158233014</v>
      </c>
      <c r="J5" s="10"/>
    </row>
    <row r="6" spans="1:14" x14ac:dyDescent="0.25">
      <c r="A6">
        <f>regression!A6</f>
        <v>2007</v>
      </c>
      <c r="B6">
        <f>regression!B6</f>
        <v>3</v>
      </c>
      <c r="C6" t="str">
        <f>regression!C6</f>
        <v>Transp</v>
      </c>
      <c r="D6" t="str">
        <f>regression!D6</f>
        <v>Sr. Sec.</v>
      </c>
      <c r="E6">
        <f>regression!E6</f>
        <v>0.25844920997567156</v>
      </c>
      <c r="F6">
        <f>regression!F6</f>
        <v>0.54133930867264546</v>
      </c>
      <c r="G6">
        <f>regression!G6</f>
        <v>0.45660000000000001</v>
      </c>
      <c r="H6">
        <f>regression!H6</f>
        <v>2.3530000000000002</v>
      </c>
      <c r="I6">
        <f t="shared" si="0"/>
        <v>-1.1069149685479212</v>
      </c>
      <c r="J6" s="10" t="s">
        <v>25</v>
      </c>
      <c r="K6" s="2">
        <f>K2/K3</f>
        <v>1.8891380679720546</v>
      </c>
      <c r="L6" s="2">
        <f t="shared" ref="L6:N6" si="1">L2/L3</f>
        <v>3.8354813950882409</v>
      </c>
      <c r="M6" s="2">
        <f t="shared" si="1"/>
        <v>2.2663470485622206</v>
      </c>
      <c r="N6" s="2">
        <f t="shared" si="1"/>
        <v>-4.8713919937043748</v>
      </c>
    </row>
    <row r="7" spans="1:14" x14ac:dyDescent="0.25">
      <c r="A7">
        <f>regression!A7</f>
        <v>2007</v>
      </c>
      <c r="B7">
        <f>regression!B7</f>
        <v>4</v>
      </c>
      <c r="C7" t="str">
        <f>regression!C7</f>
        <v>Tech</v>
      </c>
      <c r="D7" t="str">
        <f>regression!D7</f>
        <v>Sr. Sub.</v>
      </c>
      <c r="E7">
        <f>regression!E7</f>
        <v>1.9680090408217832E-2</v>
      </c>
      <c r="F7">
        <f>regression!F7</f>
        <v>0.81200000000000006</v>
      </c>
      <c r="G7">
        <f>regression!G7</f>
        <v>0.67149999999999999</v>
      </c>
      <c r="H7">
        <f>regression!H7</f>
        <v>0.74299999999999999</v>
      </c>
      <c r="I7">
        <f t="shared" si="0"/>
        <v>-2.4617197408670526</v>
      </c>
    </row>
    <row r="8" spans="1:14" x14ac:dyDescent="0.25">
      <c r="A8">
        <f>regression!A8</f>
        <v>2007</v>
      </c>
      <c r="B8">
        <f>regression!B8</f>
        <v>6</v>
      </c>
      <c r="C8" t="str">
        <f>regression!C8</f>
        <v>Transp</v>
      </c>
      <c r="D8" t="str">
        <f>regression!D8</f>
        <v>Sr. Sub.</v>
      </c>
      <c r="E8">
        <f>regression!E8</f>
        <v>0.93103551289458553</v>
      </c>
      <c r="F8">
        <f>regression!F8</f>
        <v>0.54673222886580675</v>
      </c>
      <c r="G8">
        <f>regression!G8</f>
        <v>0.67149999999999999</v>
      </c>
      <c r="H8">
        <f>regression!H8</f>
        <v>2.3530000000000002</v>
      </c>
      <c r="I8">
        <f t="shared" si="0"/>
        <v>0.78643548302057364</v>
      </c>
    </row>
    <row r="9" spans="1:14" x14ac:dyDescent="0.25">
      <c r="A9">
        <f>regression!A9</f>
        <v>2007</v>
      </c>
      <c r="B9">
        <f>regression!B9</f>
        <v>7</v>
      </c>
      <c r="C9" t="str">
        <f>regression!C9</f>
        <v>Retail</v>
      </c>
      <c r="D9" t="str">
        <f>regression!D9</f>
        <v>Sr. Sub.</v>
      </c>
      <c r="E9">
        <f>regression!E9</f>
        <v>0.34125492454895112</v>
      </c>
      <c r="F9">
        <f>regression!F9</f>
        <v>0.71</v>
      </c>
      <c r="G9">
        <f>regression!G9</f>
        <v>0.67149999999999999</v>
      </c>
      <c r="H9">
        <f>regression!H9</f>
        <v>1.1830000000000001</v>
      </c>
      <c r="I9">
        <f t="shared" si="0"/>
        <v>-0.8858556382477325</v>
      </c>
      <c r="K9" s="11" t="s">
        <v>27</v>
      </c>
      <c r="L9" s="12"/>
    </row>
    <row r="10" spans="1:14" x14ac:dyDescent="0.25">
      <c r="A10">
        <f>regression!A10</f>
        <v>2007</v>
      </c>
      <c r="B10">
        <f>regression!B10</f>
        <v>8</v>
      </c>
      <c r="C10" t="str">
        <f>regression!C10</f>
        <v>Transp</v>
      </c>
      <c r="D10" t="str">
        <f>regression!D10</f>
        <v>Sr. Sub.</v>
      </c>
      <c r="E10">
        <f>regression!E10</f>
        <v>0.35075455977469705</v>
      </c>
      <c r="F10">
        <f>regression!F10</f>
        <v>0.85533936081795725</v>
      </c>
      <c r="G10">
        <f>regression!G10</f>
        <v>0.67149999999999999</v>
      </c>
      <c r="H10">
        <f>regression!H10</f>
        <v>2.3530000000000002</v>
      </c>
      <c r="I10">
        <f t="shared" si="0"/>
        <v>-0.86218536052335548</v>
      </c>
      <c r="K10" s="13" t="s">
        <v>28</v>
      </c>
      <c r="L10" s="14">
        <f>AVERAGE(E2:E318)</f>
        <v>0.65157901790420347</v>
      </c>
    </row>
    <row r="11" spans="1:14" x14ac:dyDescent="0.25">
      <c r="A11">
        <f>regression!A11</f>
        <v>2007</v>
      </c>
      <c r="B11">
        <f>regression!B11</f>
        <v>9</v>
      </c>
      <c r="C11" t="str">
        <f>regression!C11</f>
        <v>Tech</v>
      </c>
      <c r="D11" t="str">
        <f>regression!D11</f>
        <v>Sr. Unsec.</v>
      </c>
      <c r="E11">
        <f>regression!E11</f>
        <v>4.5826764176957413E-2</v>
      </c>
      <c r="F11">
        <f>regression!F11</f>
        <v>0.31398323653338439</v>
      </c>
      <c r="G11">
        <f>regression!G11</f>
        <v>0.62609999999999999</v>
      </c>
      <c r="H11">
        <f>regression!H11</f>
        <v>0.74299999999999999</v>
      </c>
      <c r="I11">
        <f t="shared" si="0"/>
        <v>-2.0954040551361661</v>
      </c>
      <c r="K11" t="s">
        <v>29</v>
      </c>
      <c r="L11" s="14">
        <f>STDEV(E2:E318)</f>
        <v>0.28816309407550272</v>
      </c>
    </row>
    <row r="12" spans="1:14" x14ac:dyDescent="0.25">
      <c r="A12">
        <f>regression!A12</f>
        <v>2007</v>
      </c>
      <c r="B12">
        <f>regression!B12</f>
        <v>10</v>
      </c>
      <c r="C12" t="str">
        <f>regression!C12</f>
        <v>Energy</v>
      </c>
      <c r="D12" t="str">
        <f>regression!D12</f>
        <v>Sr. Sec.</v>
      </c>
      <c r="E12">
        <f>regression!E12</f>
        <v>2.5754192763850048E-2</v>
      </c>
      <c r="F12">
        <f>regression!F12</f>
        <v>0.1906482365410154</v>
      </c>
      <c r="G12">
        <f>regression!G12</f>
        <v>0.45660000000000001</v>
      </c>
      <c r="H12">
        <f>regression!H12</f>
        <v>0</v>
      </c>
      <c r="I12">
        <f t="shared" si="0"/>
        <v>-2.3502199351174182</v>
      </c>
    </row>
    <row r="13" spans="1:14" x14ac:dyDescent="0.25">
      <c r="A13">
        <f>regression!A13</f>
        <v>2007</v>
      </c>
      <c r="B13">
        <f>regression!B13</f>
        <v>11</v>
      </c>
      <c r="C13" t="str">
        <f>regression!C13</f>
        <v>Transp</v>
      </c>
      <c r="D13" t="str">
        <f>regression!D13</f>
        <v>Sr. Unsec.</v>
      </c>
      <c r="E13">
        <f>regression!E13</f>
        <v>0.75973256755290175</v>
      </c>
      <c r="F13">
        <f>regression!F13</f>
        <v>0.49095375606826613</v>
      </c>
      <c r="G13">
        <f>regression!G13</f>
        <v>0.62609999999999999</v>
      </c>
      <c r="H13">
        <f>regression!H13</f>
        <v>2.3530000000000002</v>
      </c>
      <c r="I13">
        <f t="shared" si="0"/>
        <v>0.11426907906261712</v>
      </c>
      <c r="K13" s="1" t="s">
        <v>30</v>
      </c>
    </row>
    <row r="14" spans="1:14" x14ac:dyDescent="0.25">
      <c r="A14">
        <f>regression!A14</f>
        <v>2007</v>
      </c>
      <c r="B14">
        <f>regression!B14</f>
        <v>12</v>
      </c>
      <c r="C14" t="str">
        <f>regression!C14</f>
        <v>Media</v>
      </c>
      <c r="D14" t="str">
        <f>regression!D14</f>
        <v>Sr. Unsec.</v>
      </c>
      <c r="E14">
        <f>regression!E14</f>
        <v>0.75798999853079407</v>
      </c>
      <c r="F14">
        <f>regression!F14</f>
        <v>0.91078875873769793</v>
      </c>
      <c r="G14">
        <f>regression!G14</f>
        <v>0.62609999999999999</v>
      </c>
      <c r="H14">
        <f>regression!H14</f>
        <v>1.415</v>
      </c>
      <c r="I14">
        <f t="shared" si="0"/>
        <v>0.10936767486103548</v>
      </c>
      <c r="K14" t="s">
        <v>31</v>
      </c>
      <c r="L14">
        <f>L10/L11^2*(L10*(1-L10)-L11^2)</f>
        <v>1.1298222816796215</v>
      </c>
    </row>
    <row r="15" spans="1:14" x14ac:dyDescent="0.25">
      <c r="A15">
        <f>regression!A15</f>
        <v>2007</v>
      </c>
      <c r="B15">
        <f>regression!B15</f>
        <v>13</v>
      </c>
      <c r="C15" t="str">
        <f>regression!C15</f>
        <v>Retail</v>
      </c>
      <c r="D15" t="str">
        <f>regression!D15</f>
        <v>Sr. Unsec.</v>
      </c>
      <c r="E15">
        <f>regression!E15</f>
        <v>0.6</v>
      </c>
      <c r="F15">
        <f>regression!F15</f>
        <v>0.33607151817437908</v>
      </c>
      <c r="G15">
        <f>regression!G15</f>
        <v>0.62609999999999999</v>
      </c>
      <c r="H15">
        <f>regression!H15</f>
        <v>1.1830000000000001</v>
      </c>
      <c r="I15">
        <f t="shared" si="0"/>
        <v>-0.28568661869738282</v>
      </c>
      <c r="K15" t="s">
        <v>32</v>
      </c>
      <c r="L15">
        <f>(1-L10)/L11^2*(L10*(1-L10)-L11^2)</f>
        <v>0.60415356873017545</v>
      </c>
    </row>
    <row r="16" spans="1:14" x14ac:dyDescent="0.25">
      <c r="A16">
        <f>regression!A16</f>
        <v>2007</v>
      </c>
      <c r="B16">
        <f>regression!B16</f>
        <v>14</v>
      </c>
      <c r="C16" t="str">
        <f>regression!C16</f>
        <v>Cons G</v>
      </c>
      <c r="D16" t="str">
        <f>regression!D16</f>
        <v>Sr. Sec.</v>
      </c>
      <c r="E16">
        <f>regression!E16</f>
        <v>0.37448025577302113</v>
      </c>
      <c r="F16">
        <f>regression!F16</f>
        <v>0.41486237404570397</v>
      </c>
      <c r="G16">
        <f>regression!G16</f>
        <v>0.45660000000000001</v>
      </c>
      <c r="H16">
        <f>regression!H16</f>
        <v>0.96699999999999997</v>
      </c>
      <c r="I16">
        <f t="shared" si="0"/>
        <v>-0.80415390712808554</v>
      </c>
    </row>
    <row r="17" spans="1:9" x14ac:dyDescent="0.25">
      <c r="A17">
        <f>regression!A17</f>
        <v>2007</v>
      </c>
      <c r="B17">
        <f>regression!B17</f>
        <v>15</v>
      </c>
      <c r="C17" t="str">
        <f>regression!C17</f>
        <v>Retail</v>
      </c>
      <c r="D17" t="str">
        <f>regression!D17</f>
        <v>Sr. Unsec.</v>
      </c>
      <c r="E17">
        <f>regression!E17</f>
        <v>0.16872640728709642</v>
      </c>
      <c r="F17">
        <f>regression!F17</f>
        <v>0.61206399494771813</v>
      </c>
      <c r="G17">
        <f>regression!G17</f>
        <v>0.62609999999999999</v>
      </c>
      <c r="H17">
        <f>regression!H17</f>
        <v>1.1830000000000001</v>
      </c>
      <c r="I17">
        <f t="shared" si="0"/>
        <v>-1.3981763316262499</v>
      </c>
    </row>
    <row r="18" spans="1:9" x14ac:dyDescent="0.25">
      <c r="A18">
        <f>regression!A18</f>
        <v>2007</v>
      </c>
      <c r="B18">
        <f>regression!B18</f>
        <v>16</v>
      </c>
      <c r="C18" t="str">
        <f>regression!C18</f>
        <v>Transp</v>
      </c>
      <c r="D18" t="str">
        <f>regression!D18</f>
        <v>Sr. Unsec.</v>
      </c>
      <c r="E18">
        <f>regression!E18</f>
        <v>0.28390964250291317</v>
      </c>
      <c r="F18">
        <f>regression!F18</f>
        <v>0.69392871672528511</v>
      </c>
      <c r="G18">
        <f>regression!G18</f>
        <v>0.62609999999999999</v>
      </c>
      <c r="H18">
        <f>regression!H18</f>
        <v>2.3530000000000002</v>
      </c>
      <c r="I18">
        <f t="shared" si="0"/>
        <v>-1.0355812961002142</v>
      </c>
    </row>
    <row r="19" spans="1:9" x14ac:dyDescent="0.25">
      <c r="A19">
        <f>regression!A19</f>
        <v>2007</v>
      </c>
      <c r="B19">
        <f>regression!B19</f>
        <v>17</v>
      </c>
      <c r="C19" t="str">
        <f>regression!C19</f>
        <v>Media</v>
      </c>
      <c r="D19" t="str">
        <f>regression!D19</f>
        <v>Sr. Unsec.</v>
      </c>
      <c r="E19">
        <f>regression!E19</f>
        <v>0.74701838219018102</v>
      </c>
      <c r="F19">
        <f>regression!F19</f>
        <v>0.93707243124105388</v>
      </c>
      <c r="G19">
        <f>regression!G19</f>
        <v>0.62609999999999999</v>
      </c>
      <c r="H19">
        <f>regression!H19</f>
        <v>1.415</v>
      </c>
      <c r="I19">
        <f t="shared" si="0"/>
        <v>7.8909854696208537E-2</v>
      </c>
    </row>
    <row r="20" spans="1:9" x14ac:dyDescent="0.25">
      <c r="A20">
        <f>regression!A20</f>
        <v>2007</v>
      </c>
      <c r="B20">
        <f>regression!B20</f>
        <v>21</v>
      </c>
      <c r="C20" t="str">
        <f>regression!C20</f>
        <v>Transp</v>
      </c>
      <c r="D20" t="str">
        <f>regression!D20</f>
        <v>Sr. Sub.</v>
      </c>
      <c r="E20">
        <f>regression!E20</f>
        <v>0.68630005856286913</v>
      </c>
      <c r="F20">
        <f>regression!F20</f>
        <v>0.80116253214876176</v>
      </c>
      <c r="G20">
        <f>regression!G20</f>
        <v>0.67149999999999999</v>
      </c>
      <c r="H20">
        <f>regression!H20</f>
        <v>2.3530000000000002</v>
      </c>
      <c r="I20">
        <f t="shared" si="0"/>
        <v>-7.9475969169865199E-2</v>
      </c>
    </row>
    <row r="21" spans="1:9" x14ac:dyDescent="0.25">
      <c r="A21">
        <f>regression!A21</f>
        <v>2007</v>
      </c>
      <c r="B21">
        <f>regression!B21</f>
        <v>22</v>
      </c>
      <c r="C21" t="str">
        <f>regression!C21</f>
        <v>Energy</v>
      </c>
      <c r="D21" t="str">
        <f>regression!D21</f>
        <v>Sr. Sec.</v>
      </c>
      <c r="E21">
        <f>regression!E21</f>
        <v>5.0051313017193122E-2</v>
      </c>
      <c r="F21">
        <f>regression!F21</f>
        <v>0.36572506640451663</v>
      </c>
      <c r="G21">
        <f>regression!G21</f>
        <v>0.45660000000000001</v>
      </c>
      <c r="H21">
        <f>regression!H21</f>
        <v>0</v>
      </c>
      <c r="I21">
        <f t="shared" si="0"/>
        <v>-2.0541896030007805</v>
      </c>
    </row>
    <row r="22" spans="1:9" x14ac:dyDescent="0.25">
      <c r="A22">
        <f>regression!A22</f>
        <v>2007</v>
      </c>
      <c r="B22">
        <f>regression!B22</f>
        <v>23</v>
      </c>
      <c r="C22" t="str">
        <f>regression!C22</f>
        <v>Retail</v>
      </c>
      <c r="D22" t="str">
        <f>regression!D22</f>
        <v>Sr. Sub.</v>
      </c>
      <c r="E22">
        <f>regression!E22</f>
        <v>0.66432001241815719</v>
      </c>
      <c r="F22">
        <f>regression!F22</f>
        <v>0.17701373287072394</v>
      </c>
      <c r="G22">
        <f>regression!G22</f>
        <v>0.67149999999999999</v>
      </c>
      <c r="H22">
        <f>regression!H22</f>
        <v>1.1830000000000001</v>
      </c>
      <c r="I22">
        <f t="shared" si="0"/>
        <v>-0.1335871273665678</v>
      </c>
    </row>
    <row r="23" spans="1:9" x14ac:dyDescent="0.25">
      <c r="A23">
        <f>regression!A23</f>
        <v>2007</v>
      </c>
      <c r="B23">
        <f>regression!B23</f>
        <v>24</v>
      </c>
      <c r="C23" t="str">
        <f>regression!C23</f>
        <v>Transp</v>
      </c>
      <c r="D23" t="str">
        <f>regression!D23</f>
        <v>Sr. Unsec.</v>
      </c>
      <c r="E23">
        <f>regression!E23</f>
        <v>0.85190258447703004</v>
      </c>
      <c r="F23">
        <f>regression!F23</f>
        <v>0.33394424853074578</v>
      </c>
      <c r="G23">
        <f>regression!G23</f>
        <v>0.62609999999999999</v>
      </c>
      <c r="H23">
        <f>regression!H23</f>
        <v>2.3530000000000002</v>
      </c>
      <c r="I23">
        <f t="shared" si="0"/>
        <v>0.40963867648383917</v>
      </c>
    </row>
    <row r="24" spans="1:9" x14ac:dyDescent="0.25">
      <c r="A24">
        <f>regression!A24</f>
        <v>2007</v>
      </c>
      <c r="B24">
        <f>regression!B24</f>
        <v>27</v>
      </c>
      <c r="C24" t="str">
        <f>regression!C24</f>
        <v>Transp</v>
      </c>
      <c r="D24" t="str">
        <f>regression!D24</f>
        <v>Sr. Sub.</v>
      </c>
      <c r="E24">
        <f>regression!E24</f>
        <v>0.19120147072388038</v>
      </c>
      <c r="F24">
        <f>regression!F24</f>
        <v>0.16671028481622882</v>
      </c>
      <c r="G24">
        <f>regression!G24</f>
        <v>0.67149999999999999</v>
      </c>
      <c r="H24">
        <f>regression!H24</f>
        <v>2.3530000000000002</v>
      </c>
      <c r="I24">
        <f t="shared" si="0"/>
        <v>-1.3174899344871542</v>
      </c>
    </row>
    <row r="25" spans="1:9" x14ac:dyDescent="0.25">
      <c r="A25">
        <f>regression!A25</f>
        <v>2007</v>
      </c>
      <c r="B25">
        <f>regression!B25</f>
        <v>28</v>
      </c>
      <c r="C25" t="str">
        <f>regression!C25</f>
        <v>Tech</v>
      </c>
      <c r="D25" t="str">
        <f>regression!D25</f>
        <v>Sr. Sub.</v>
      </c>
      <c r="E25">
        <f>regression!E25</f>
        <v>0.17837152154660729</v>
      </c>
      <c r="F25">
        <f>regression!F25</f>
        <v>0.30851428864655656</v>
      </c>
      <c r="G25">
        <f>regression!G25</f>
        <v>0.67149999999999999</v>
      </c>
      <c r="H25">
        <f>regression!H25</f>
        <v>0.74299999999999999</v>
      </c>
      <c r="I25">
        <f t="shared" si="0"/>
        <v>-1.362730590921162</v>
      </c>
    </row>
    <row r="26" spans="1:9" x14ac:dyDescent="0.25">
      <c r="A26">
        <f>regression!A26</f>
        <v>2007</v>
      </c>
      <c r="B26">
        <f>regression!B26</f>
        <v>29</v>
      </c>
      <c r="C26" t="str">
        <f>regression!C26</f>
        <v>Retail</v>
      </c>
      <c r="D26" t="str">
        <f>regression!D26</f>
        <v>Sr. Unsec.</v>
      </c>
      <c r="E26">
        <f>regression!E26</f>
        <v>6.2332698878394432E-2</v>
      </c>
      <c r="F26">
        <f>regression!F26</f>
        <v>0.54301431576168024</v>
      </c>
      <c r="G26">
        <f>regression!G26</f>
        <v>0.62609999999999999</v>
      </c>
      <c r="H26">
        <f>regression!H26</f>
        <v>1.1830000000000001</v>
      </c>
      <c r="I26">
        <f t="shared" si="0"/>
        <v>-1.9486445030665898</v>
      </c>
    </row>
    <row r="27" spans="1:9" x14ac:dyDescent="0.25">
      <c r="A27">
        <f>regression!A27</f>
        <v>2007</v>
      </c>
      <c r="B27">
        <f>regression!B27</f>
        <v>30</v>
      </c>
      <c r="C27" t="str">
        <f>regression!C27</f>
        <v>Transp</v>
      </c>
      <c r="D27" t="str">
        <f>regression!D27</f>
        <v>Sr. Sec.</v>
      </c>
      <c r="E27">
        <f>regression!E27</f>
        <v>0.4854537052703547</v>
      </c>
      <c r="F27">
        <f>regression!F27</f>
        <v>0.37586029957274913</v>
      </c>
      <c r="G27">
        <f>regression!G27</f>
        <v>0.45660000000000001</v>
      </c>
      <c r="H27">
        <f>regression!H27</f>
        <v>2.3530000000000002</v>
      </c>
      <c r="I27">
        <f t="shared" si="0"/>
        <v>-0.54612241046431431</v>
      </c>
    </row>
    <row r="28" spans="1:9" x14ac:dyDescent="0.25">
      <c r="A28">
        <f>regression!A28</f>
        <v>2007</v>
      </c>
      <c r="B28">
        <f>regression!B28</f>
        <v>48</v>
      </c>
      <c r="C28" t="str">
        <f>regression!C28</f>
        <v>Tech</v>
      </c>
      <c r="D28" t="str">
        <f>regression!D28</f>
        <v>Sr. Unsec.</v>
      </c>
      <c r="E28">
        <f>regression!E28</f>
        <v>0.45818641264438642</v>
      </c>
      <c r="F28">
        <f>regression!F28</f>
        <v>0.49346095687201991</v>
      </c>
      <c r="G28">
        <f>regression!G28</f>
        <v>0.62609999999999999</v>
      </c>
      <c r="H28">
        <f>regression!H28</f>
        <v>0.74299999999999999</v>
      </c>
      <c r="I28">
        <f t="shared" si="0"/>
        <v>-0.60819176468968905</v>
      </c>
    </row>
    <row r="29" spans="1:9" x14ac:dyDescent="0.25">
      <c r="A29">
        <f>regression!A29</f>
        <v>2007</v>
      </c>
      <c r="B29">
        <f>regression!B29</f>
        <v>48</v>
      </c>
      <c r="C29" t="str">
        <f>regression!C29</f>
        <v>Tech</v>
      </c>
      <c r="D29" t="str">
        <f>regression!D29</f>
        <v>Sub.</v>
      </c>
      <c r="E29">
        <f>regression!E29</f>
        <v>0.82746503669023519</v>
      </c>
      <c r="F29">
        <f>regression!F29</f>
        <v>0.49346095687201991</v>
      </c>
      <c r="G29">
        <f>regression!G29</f>
        <v>0.68489999999999995</v>
      </c>
      <c r="H29">
        <f>regression!H29</f>
        <v>0.74299999999999999</v>
      </c>
      <c r="I29">
        <f t="shared" si="0"/>
        <v>0.32257816764167496</v>
      </c>
    </row>
    <row r="30" spans="1:9" x14ac:dyDescent="0.25">
      <c r="A30">
        <f>regression!A30</f>
        <v>2007</v>
      </c>
      <c r="B30">
        <f>regression!B30</f>
        <v>49</v>
      </c>
      <c r="C30" t="str">
        <f>regression!C30</f>
        <v>Media</v>
      </c>
      <c r="D30" t="str">
        <f>regression!D30</f>
        <v>Sr. Sub.</v>
      </c>
      <c r="E30">
        <f>regression!E30</f>
        <v>0.48093841355608091</v>
      </c>
      <c r="F30">
        <f>regression!F30</f>
        <v>0.70701833128672908</v>
      </c>
      <c r="G30">
        <f>regression!G30</f>
        <v>0.67149999999999999</v>
      </c>
      <c r="H30">
        <f>regression!H30</f>
        <v>1.415</v>
      </c>
      <c r="I30">
        <f t="shared" si="0"/>
        <v>-0.55636921881880985</v>
      </c>
    </row>
    <row r="31" spans="1:9" x14ac:dyDescent="0.25">
      <c r="A31">
        <f>regression!A31</f>
        <v>2008</v>
      </c>
      <c r="B31">
        <f>regression!B31</f>
        <v>50</v>
      </c>
      <c r="C31" t="str">
        <f>regression!C31</f>
        <v>Retail</v>
      </c>
      <c r="D31" t="str">
        <f>regression!D31</f>
        <v>Sr. Sub.</v>
      </c>
      <c r="E31">
        <f>regression!E31</f>
        <v>0.47741094848513599</v>
      </c>
      <c r="F31">
        <f>regression!F31</f>
        <v>0.8323434498094584</v>
      </c>
      <c r="G31">
        <f>regression!G31</f>
        <v>0.68120000000000003</v>
      </c>
      <c r="H31">
        <f>regression!H31</f>
        <v>1.802</v>
      </c>
      <c r="I31">
        <f t="shared" si="0"/>
        <v>-0.56438165788319494</v>
      </c>
    </row>
    <row r="32" spans="1:9" x14ac:dyDescent="0.25">
      <c r="A32">
        <f>regression!A32</f>
        <v>2008</v>
      </c>
      <c r="B32">
        <f>regression!B32</f>
        <v>51</v>
      </c>
      <c r="C32" t="str">
        <f>regression!C32</f>
        <v>Media</v>
      </c>
      <c r="D32" t="str">
        <f>regression!D32</f>
        <v>Sr. Unsec.</v>
      </c>
      <c r="E32">
        <f>regression!E32</f>
        <v>0.77144265556335456</v>
      </c>
      <c r="F32">
        <f>regression!F32</f>
        <v>0.23778569529931196</v>
      </c>
      <c r="G32">
        <f>regression!G32</f>
        <v>0.63600000000000001</v>
      </c>
      <c r="H32">
        <f>regression!H32</f>
        <v>0.92</v>
      </c>
      <c r="I32">
        <f t="shared" si="0"/>
        <v>0.14769681649644104</v>
      </c>
    </row>
    <row r="33" spans="1:9" x14ac:dyDescent="0.25">
      <c r="A33">
        <f>regression!A33</f>
        <v>2008</v>
      </c>
      <c r="B33">
        <f>regression!B33</f>
        <v>52</v>
      </c>
      <c r="C33" t="str">
        <f>regression!C33</f>
        <v>Transp</v>
      </c>
      <c r="D33" t="str">
        <f>regression!D33</f>
        <v>Sr. Sec.</v>
      </c>
      <c r="E33">
        <f>regression!E33</f>
        <v>8.1576930809021064E-2</v>
      </c>
      <c r="F33">
        <f>regression!F33</f>
        <v>0.29647870966003148</v>
      </c>
      <c r="G33">
        <f>regression!G33</f>
        <v>0.48199999999999998</v>
      </c>
      <c r="H33">
        <f>regression!H33</f>
        <v>0</v>
      </c>
      <c r="I33">
        <f t="shared" si="0"/>
        <v>-1.8127285260440829</v>
      </c>
    </row>
    <row r="34" spans="1:9" x14ac:dyDescent="0.25">
      <c r="A34">
        <f>regression!A34</f>
        <v>2008</v>
      </c>
      <c r="B34">
        <f>regression!B34</f>
        <v>52</v>
      </c>
      <c r="C34" t="str">
        <f>regression!C34</f>
        <v>Retail</v>
      </c>
      <c r="D34" t="str">
        <f>regression!D34</f>
        <v>Sr. Unsec.</v>
      </c>
      <c r="E34">
        <f>regression!E34</f>
        <v>0.56085931088924412</v>
      </c>
      <c r="F34">
        <f>regression!F34</f>
        <v>0.29647870966003148</v>
      </c>
      <c r="G34">
        <f>regression!G34</f>
        <v>0.63600000000000001</v>
      </c>
      <c r="H34">
        <f>regression!H34</f>
        <v>1.802</v>
      </c>
      <c r="I34">
        <f t="shared" si="0"/>
        <v>-0.37535829603636761</v>
      </c>
    </row>
    <row r="35" spans="1:9" x14ac:dyDescent="0.25">
      <c r="A35">
        <f>regression!A35</f>
        <v>2008</v>
      </c>
      <c r="B35">
        <f>regression!B35</f>
        <v>52</v>
      </c>
      <c r="C35" t="str">
        <f>regression!C35</f>
        <v>Retail</v>
      </c>
      <c r="D35" t="str">
        <f>regression!D35</f>
        <v>Sr. Sub.</v>
      </c>
      <c r="E35">
        <f>regression!E35</f>
        <v>0.88407824818104508</v>
      </c>
      <c r="F35">
        <f>regression!F35</f>
        <v>0.29647870966003148</v>
      </c>
      <c r="G35">
        <f>regression!G35</f>
        <v>0.68120000000000003</v>
      </c>
      <c r="H35">
        <f>regression!H35</f>
        <v>1.802</v>
      </c>
      <c r="I35">
        <f t="shared" si="0"/>
        <v>0.53992325973189093</v>
      </c>
    </row>
    <row r="36" spans="1:9" x14ac:dyDescent="0.25">
      <c r="A36">
        <f>regression!A36</f>
        <v>2008</v>
      </c>
      <c r="B36">
        <f>regression!B36</f>
        <v>53</v>
      </c>
      <c r="C36" t="str">
        <f>regression!C36</f>
        <v>Tech</v>
      </c>
      <c r="D36" t="str">
        <f>regression!D36</f>
        <v>Sr. Sec.</v>
      </c>
      <c r="E36">
        <f>regression!E36</f>
        <v>0.45218848057091243</v>
      </c>
      <c r="F36">
        <f>regression!F36</f>
        <v>0.63932472767076454</v>
      </c>
      <c r="G36">
        <f>regression!G36</f>
        <v>0.48199999999999998</v>
      </c>
      <c r="H36">
        <f>regression!H36</f>
        <v>0.48599999999999999</v>
      </c>
      <c r="I36">
        <f t="shared" si="0"/>
        <v>-0.62192035862451744</v>
      </c>
    </row>
    <row r="37" spans="1:9" x14ac:dyDescent="0.25">
      <c r="A37">
        <f>regression!A37</f>
        <v>2008</v>
      </c>
      <c r="B37">
        <f>regression!B37</f>
        <v>53</v>
      </c>
      <c r="C37" t="str">
        <f>regression!C37</f>
        <v>Tech</v>
      </c>
      <c r="D37" t="str">
        <f>regression!D37</f>
        <v>Sr. Unsec.</v>
      </c>
      <c r="E37">
        <f>regression!E37</f>
        <v>0.88976448770761496</v>
      </c>
      <c r="F37">
        <f>regression!F37</f>
        <v>0.63932472767076454</v>
      </c>
      <c r="G37">
        <f>regression!G37</f>
        <v>0.63600000000000001</v>
      </c>
      <c r="H37">
        <f>regression!H37</f>
        <v>0.48599999999999999</v>
      </c>
      <c r="I37">
        <f t="shared" si="0"/>
        <v>0.56542568406186744</v>
      </c>
    </row>
    <row r="38" spans="1:9" x14ac:dyDescent="0.25">
      <c r="A38">
        <f>regression!A38</f>
        <v>2008</v>
      </c>
      <c r="B38">
        <f>regression!B38</f>
        <v>54</v>
      </c>
      <c r="C38" t="str">
        <f>regression!C38</f>
        <v>Media</v>
      </c>
      <c r="D38" t="str">
        <f>regression!D38</f>
        <v>Sr. Sec.</v>
      </c>
      <c r="E38">
        <f>regression!E38</f>
        <v>0.85969781782925137</v>
      </c>
      <c r="F38">
        <f>regression!F38</f>
        <v>0.41714147180195826</v>
      </c>
      <c r="G38">
        <f>regression!G38</f>
        <v>0.48199999999999998</v>
      </c>
      <c r="H38">
        <f>regression!H38</f>
        <v>0.92</v>
      </c>
      <c r="I38">
        <f t="shared" si="0"/>
        <v>0.43932694794460903</v>
      </c>
    </row>
    <row r="39" spans="1:9" x14ac:dyDescent="0.25">
      <c r="A39">
        <f>regression!A39</f>
        <v>2008</v>
      </c>
      <c r="B39">
        <f>regression!B39</f>
        <v>56</v>
      </c>
      <c r="C39" t="str">
        <f>regression!C39</f>
        <v>Cons G</v>
      </c>
      <c r="D39" t="str">
        <f>regression!D39</f>
        <v>Sr. Sub.</v>
      </c>
      <c r="E39">
        <f>regression!E39</f>
        <v>0.46480322089195247</v>
      </c>
      <c r="F39">
        <f>regression!F39</f>
        <v>0.38996303099474688</v>
      </c>
      <c r="G39">
        <f>regression!G39</f>
        <v>0.68120000000000003</v>
      </c>
      <c r="H39">
        <f>regression!H39</f>
        <v>0.65100000000000002</v>
      </c>
      <c r="I39">
        <f t="shared" si="0"/>
        <v>-0.59308243262162041</v>
      </c>
    </row>
    <row r="40" spans="1:9" x14ac:dyDescent="0.25">
      <c r="A40">
        <f>regression!A40</f>
        <v>2008</v>
      </c>
      <c r="B40">
        <f>regression!B40</f>
        <v>57</v>
      </c>
      <c r="C40" t="str">
        <f>regression!C40</f>
        <v>Cons G</v>
      </c>
      <c r="D40" t="str">
        <f>regression!D40</f>
        <v>Sr. Unsec.</v>
      </c>
      <c r="E40">
        <f>regression!E40</f>
        <v>0.86678265056610104</v>
      </c>
      <c r="F40">
        <f>regression!F40</f>
        <v>0.40285905354899543</v>
      </c>
      <c r="G40">
        <f>regression!G40</f>
        <v>0.63600000000000001</v>
      </c>
      <c r="H40">
        <f>regression!H40</f>
        <v>0.65100000000000002</v>
      </c>
      <c r="I40">
        <f t="shared" si="0"/>
        <v>0.46726318332012978</v>
      </c>
    </row>
    <row r="41" spans="1:9" x14ac:dyDescent="0.25">
      <c r="A41">
        <f>regression!A41</f>
        <v>2008</v>
      </c>
      <c r="B41">
        <f>regression!B41</f>
        <v>58</v>
      </c>
      <c r="C41" t="str">
        <f>regression!C41</f>
        <v>Retail</v>
      </c>
      <c r="D41" t="str">
        <f>regression!D41</f>
        <v>Sr. Sec.</v>
      </c>
      <c r="E41">
        <f>regression!E41</f>
        <v>0.97088939411735531</v>
      </c>
      <c r="F41">
        <f>regression!F41</f>
        <v>0.70797216126024221</v>
      </c>
      <c r="G41">
        <f>regression!G41</f>
        <v>0.48199999999999998</v>
      </c>
      <c r="H41">
        <f>regression!H41</f>
        <v>1.802</v>
      </c>
      <c r="I41">
        <f t="shared" si="0"/>
        <v>1.1338883853821249</v>
      </c>
    </row>
    <row r="42" spans="1:9" x14ac:dyDescent="0.25">
      <c r="A42">
        <f>regression!A42</f>
        <v>2008</v>
      </c>
      <c r="B42">
        <f>regression!B42</f>
        <v>58</v>
      </c>
      <c r="C42" t="str">
        <f>regression!C42</f>
        <v>Retail</v>
      </c>
      <c r="D42" t="str">
        <f>regression!D42</f>
        <v>Sub.</v>
      </c>
      <c r="E42">
        <f>regression!E42</f>
        <v>0.97538959100520606</v>
      </c>
      <c r="F42">
        <f>regression!F42</f>
        <v>0.70797216126024221</v>
      </c>
      <c r="G42">
        <f>regression!G42</f>
        <v>0.71120000000000005</v>
      </c>
      <c r="H42">
        <f>regression!H42</f>
        <v>1.802</v>
      </c>
      <c r="I42">
        <f t="shared" si="0"/>
        <v>1.1949332290939665</v>
      </c>
    </row>
    <row r="43" spans="1:9" x14ac:dyDescent="0.25">
      <c r="A43">
        <f>regression!A43</f>
        <v>2008</v>
      </c>
      <c r="B43">
        <f>regression!B43</f>
        <v>59</v>
      </c>
      <c r="C43" t="str">
        <f>regression!C43</f>
        <v>Tech</v>
      </c>
      <c r="D43" t="str">
        <f>regression!D43</f>
        <v>Sr. Unsec.</v>
      </c>
      <c r="E43">
        <f>regression!E43</f>
        <v>0.26735153014957913</v>
      </c>
      <c r="F43">
        <f>regression!F43</f>
        <v>0.71099999999999997</v>
      </c>
      <c r="G43">
        <f>regression!G43</f>
        <v>0.63600000000000001</v>
      </c>
      <c r="H43">
        <f>regression!H43</f>
        <v>0.48599999999999999</v>
      </c>
      <c r="I43">
        <f t="shared" si="0"/>
        <v>-1.0815599940710394</v>
      </c>
    </row>
    <row r="44" spans="1:9" x14ac:dyDescent="0.25">
      <c r="A44">
        <f>regression!A44</f>
        <v>2008</v>
      </c>
      <c r="B44">
        <f>regression!B44</f>
        <v>60</v>
      </c>
      <c r="C44" t="str">
        <f>regression!C44</f>
        <v>Transp</v>
      </c>
      <c r="D44" t="str">
        <f>regression!D44</f>
        <v>Sr. Unsec.</v>
      </c>
      <c r="E44">
        <f>regression!E44</f>
        <v>0.49505987014174457</v>
      </c>
      <c r="F44">
        <f>regression!F44</f>
        <v>0.4</v>
      </c>
      <c r="G44">
        <f>regression!G44</f>
        <v>0.63600000000000001</v>
      </c>
      <c r="H44">
        <f>regression!H44</f>
        <v>0</v>
      </c>
      <c r="I44">
        <f t="shared" si="0"/>
        <v>-0.52435201426677458</v>
      </c>
    </row>
    <row r="45" spans="1:9" x14ac:dyDescent="0.25">
      <c r="A45">
        <f>regression!A45</f>
        <v>2008</v>
      </c>
      <c r="B45">
        <f>regression!B45</f>
        <v>60</v>
      </c>
      <c r="C45" t="str">
        <f>regression!C45</f>
        <v>Transp</v>
      </c>
      <c r="D45" t="str">
        <f>regression!D45</f>
        <v>Sr. Sub.</v>
      </c>
      <c r="E45">
        <f>regression!E45</f>
        <v>0.9190320536255836</v>
      </c>
      <c r="F45">
        <f>regression!F45</f>
        <v>0.4</v>
      </c>
      <c r="G45">
        <f>regression!G45</f>
        <v>0.68120000000000003</v>
      </c>
      <c r="H45">
        <f>regression!H45</f>
        <v>0</v>
      </c>
      <c r="I45">
        <f t="shared" si="0"/>
        <v>0.71395046683569441</v>
      </c>
    </row>
    <row r="46" spans="1:9" x14ac:dyDescent="0.25">
      <c r="A46">
        <f>regression!A46</f>
        <v>2008</v>
      </c>
      <c r="B46">
        <f>regression!B46</f>
        <v>61</v>
      </c>
      <c r="C46" t="str">
        <f>regression!C46</f>
        <v>Media</v>
      </c>
      <c r="D46" t="str">
        <f>regression!D46</f>
        <v>Sr. Unsec.</v>
      </c>
      <c r="E46">
        <f>regression!E46</f>
        <v>0.68992629382884507</v>
      </c>
      <c r="F46">
        <f>regression!F46</f>
        <v>0.38</v>
      </c>
      <c r="G46">
        <f>regression!G46</f>
        <v>0.63600000000000001</v>
      </c>
      <c r="H46">
        <f>regression!H46</f>
        <v>0.92</v>
      </c>
      <c r="I46">
        <f t="shared" si="0"/>
        <v>-7.0411398363777314E-2</v>
      </c>
    </row>
    <row r="47" spans="1:9" x14ac:dyDescent="0.25">
      <c r="A47">
        <f>regression!A47</f>
        <v>2008</v>
      </c>
      <c r="B47">
        <f>regression!B47</f>
        <v>62</v>
      </c>
      <c r="C47" t="str">
        <f>regression!C47</f>
        <v>Media</v>
      </c>
      <c r="D47" t="str">
        <f>regression!D47</f>
        <v>Sr. Sec.</v>
      </c>
      <c r="E47">
        <f>regression!E47</f>
        <v>9.1055164074897776E-2</v>
      </c>
      <c r="F47">
        <f>regression!F47</f>
        <v>0.55725300173160475</v>
      </c>
      <c r="G47">
        <f>regression!G47</f>
        <v>0.48199999999999998</v>
      </c>
      <c r="H47">
        <f>regression!H47</f>
        <v>0.92</v>
      </c>
      <c r="I47">
        <f t="shared" si="0"/>
        <v>-1.7548699669062657</v>
      </c>
    </row>
    <row r="48" spans="1:9" x14ac:dyDescent="0.25">
      <c r="A48">
        <f>regression!A48</f>
        <v>2008</v>
      </c>
      <c r="B48">
        <f>regression!B48</f>
        <v>62</v>
      </c>
      <c r="C48" t="str">
        <f>regression!C48</f>
        <v>Media</v>
      </c>
      <c r="D48" t="str">
        <f>regression!D48</f>
        <v>Sr. Sub.</v>
      </c>
      <c r="E48">
        <f>regression!E48</f>
        <v>0.38780128974914552</v>
      </c>
      <c r="F48">
        <f>regression!F48</f>
        <v>0.55725300173160475</v>
      </c>
      <c r="G48">
        <f>regression!G48</f>
        <v>0.68120000000000003</v>
      </c>
      <c r="H48">
        <f>regression!H48</f>
        <v>0.92</v>
      </c>
      <c r="I48">
        <f t="shared" si="0"/>
        <v>-0.77216516325477691</v>
      </c>
    </row>
    <row r="49" spans="1:9" x14ac:dyDescent="0.25">
      <c r="A49">
        <f>regression!A49</f>
        <v>2008</v>
      </c>
      <c r="B49">
        <f>regression!B49</f>
        <v>63</v>
      </c>
      <c r="C49" t="str">
        <f>regression!C49</f>
        <v>Tech</v>
      </c>
      <c r="D49" t="str">
        <f>regression!D49</f>
        <v>Sr. Unsec.</v>
      </c>
      <c r="E49">
        <f>regression!E49</f>
        <v>0.37058930202400697</v>
      </c>
      <c r="F49">
        <f>regression!F49</f>
        <v>0.33998616590112019</v>
      </c>
      <c r="G49">
        <f>regression!G49</f>
        <v>0.63600000000000001</v>
      </c>
      <c r="H49">
        <f>regression!H49</f>
        <v>0.48599999999999999</v>
      </c>
      <c r="I49">
        <f t="shared" si="0"/>
        <v>-0.81357331710758385</v>
      </c>
    </row>
    <row r="50" spans="1:9" x14ac:dyDescent="0.25">
      <c r="A50">
        <f>regression!A50</f>
        <v>2008</v>
      </c>
      <c r="B50">
        <f>regression!B50</f>
        <v>64</v>
      </c>
      <c r="C50" t="str">
        <f>regression!C50</f>
        <v>Transp</v>
      </c>
      <c r="D50" t="str">
        <f>regression!D50</f>
        <v>Sr. Unsec.</v>
      </c>
      <c r="E50">
        <f>regression!E50</f>
        <v>0.21937463400363932</v>
      </c>
      <c r="F50">
        <f>regression!F50</f>
        <v>0.10556480614735464</v>
      </c>
      <c r="G50">
        <f>regression!G50</f>
        <v>0.63600000000000001</v>
      </c>
      <c r="H50">
        <f>regression!H50</f>
        <v>0</v>
      </c>
      <c r="I50">
        <f t="shared" si="0"/>
        <v>-1.2245509027688675</v>
      </c>
    </row>
    <row r="51" spans="1:9" x14ac:dyDescent="0.25">
      <c r="A51">
        <f>regression!A51</f>
        <v>2008</v>
      </c>
      <c r="B51">
        <f>regression!B51</f>
        <v>65</v>
      </c>
      <c r="C51" t="str">
        <f>regression!C51</f>
        <v>Tech</v>
      </c>
      <c r="D51" t="str">
        <f>regression!D51</f>
        <v>Sr. Unsec.</v>
      </c>
      <c r="E51">
        <f>regression!E51</f>
        <v>0.81427015170753003</v>
      </c>
      <c r="F51">
        <f>regression!F51</f>
        <v>0.58822069356306095</v>
      </c>
      <c r="G51">
        <f>regression!G51</f>
        <v>0.63600000000000001</v>
      </c>
      <c r="H51">
        <f>regression!H51</f>
        <v>0.48599999999999999</v>
      </c>
      <c r="I51">
        <f t="shared" si="0"/>
        <v>0.27871855620792341</v>
      </c>
    </row>
    <row r="52" spans="1:9" x14ac:dyDescent="0.25">
      <c r="A52">
        <f>regression!A52</f>
        <v>2008</v>
      </c>
      <c r="B52">
        <f>regression!B52</f>
        <v>67</v>
      </c>
      <c r="C52" t="str">
        <f>regression!C52</f>
        <v>Media</v>
      </c>
      <c r="D52" t="str">
        <f>regression!D52</f>
        <v>Sr. Sec.</v>
      </c>
      <c r="E52">
        <f>regression!E52</f>
        <v>0.5884418302655221</v>
      </c>
      <c r="F52">
        <f>regression!F52</f>
        <v>0.21274946494309407</v>
      </c>
      <c r="G52">
        <f>regression!G52</f>
        <v>0.48199999999999998</v>
      </c>
      <c r="H52">
        <f>regression!H52</f>
        <v>0.92</v>
      </c>
      <c r="I52">
        <f t="shared" si="0"/>
        <v>-0.31232317935341225</v>
      </c>
    </row>
    <row r="53" spans="1:9" x14ac:dyDescent="0.25">
      <c r="A53">
        <f>regression!A53</f>
        <v>2008</v>
      </c>
      <c r="B53">
        <f>regression!B53</f>
        <v>69</v>
      </c>
      <c r="C53" t="str">
        <f>regression!C53</f>
        <v>Retail</v>
      </c>
      <c r="D53" t="str">
        <f>regression!D53</f>
        <v>Sr. Unsec.</v>
      </c>
      <c r="E53">
        <f>regression!E53</f>
        <v>0.51315197463661422</v>
      </c>
      <c r="F53">
        <f>regression!F53</f>
        <v>0.26674419351554757</v>
      </c>
      <c r="G53">
        <f>regression!G53</f>
        <v>0.63600000000000001</v>
      </c>
      <c r="H53">
        <f>regression!H53</f>
        <v>1.802</v>
      </c>
      <c r="I53">
        <f t="shared" si="0"/>
        <v>-0.48341998189655522</v>
      </c>
    </row>
    <row r="54" spans="1:9" x14ac:dyDescent="0.25">
      <c r="A54">
        <f>regression!A54</f>
        <v>2008</v>
      </c>
      <c r="B54">
        <f>regression!B54</f>
        <v>70</v>
      </c>
      <c r="C54" t="str">
        <f>regression!C54</f>
        <v>Retail</v>
      </c>
      <c r="D54" t="str">
        <f>regression!D54</f>
        <v>Sr. Sub.</v>
      </c>
      <c r="E54">
        <f>regression!E54</f>
        <v>0.90196679730415341</v>
      </c>
      <c r="F54">
        <f>regression!F54</f>
        <v>0.61422901981538724</v>
      </c>
      <c r="G54">
        <f>regression!G54</f>
        <v>0.68120000000000003</v>
      </c>
      <c r="H54">
        <f>regression!H54</f>
        <v>1.802</v>
      </c>
      <c r="I54">
        <f t="shared" si="0"/>
        <v>0.6234321116824415</v>
      </c>
    </row>
    <row r="55" spans="1:9" x14ac:dyDescent="0.25">
      <c r="A55">
        <f>regression!A55</f>
        <v>2008</v>
      </c>
      <c r="B55">
        <f>regression!B55</f>
        <v>71</v>
      </c>
      <c r="C55" t="str">
        <f>regression!C55</f>
        <v>Energy</v>
      </c>
      <c r="D55" t="str">
        <f>regression!D55</f>
        <v>Sr. Unsec.</v>
      </c>
      <c r="E55">
        <f>regression!E55</f>
        <v>0.71386329823732375</v>
      </c>
      <c r="F55">
        <f>regression!F55</f>
        <v>0.21185460174659365</v>
      </c>
      <c r="G55">
        <f>regression!G55</f>
        <v>0.63600000000000001</v>
      </c>
      <c r="H55">
        <f>regression!H55</f>
        <v>0</v>
      </c>
      <c r="I55">
        <f t="shared" si="0"/>
        <v>-9.4427427086443382E-3</v>
      </c>
    </row>
    <row r="56" spans="1:9" x14ac:dyDescent="0.25">
      <c r="A56">
        <f>regression!A56</f>
        <v>2008</v>
      </c>
      <c r="B56">
        <f>regression!B56</f>
        <v>72</v>
      </c>
      <c r="C56" t="str">
        <f>regression!C56</f>
        <v>Tech</v>
      </c>
      <c r="D56" t="str">
        <f>regression!D56</f>
        <v>Sr. Unsec.</v>
      </c>
      <c r="E56">
        <f>regression!E56</f>
        <v>0.34513852508664133</v>
      </c>
      <c r="F56">
        <f>regression!F56</f>
        <v>0.2918426605624857</v>
      </c>
      <c r="G56">
        <f>regression!G56</f>
        <v>0.63600000000000001</v>
      </c>
      <c r="H56">
        <f>regression!H56</f>
        <v>0.48599999999999999</v>
      </c>
      <c r="I56">
        <f t="shared" si="0"/>
        <v>-0.87614624448937939</v>
      </c>
    </row>
    <row r="57" spans="1:9" x14ac:dyDescent="0.25">
      <c r="A57">
        <f>regression!A57</f>
        <v>2008</v>
      </c>
      <c r="B57">
        <f>regression!B57</f>
        <v>74</v>
      </c>
      <c r="C57" t="str">
        <f>regression!C57</f>
        <v>Media</v>
      </c>
      <c r="D57" t="str">
        <f>regression!D57</f>
        <v>Sr. Unsec.</v>
      </c>
      <c r="E57">
        <f>regression!E57</f>
        <v>0.51023453762352466</v>
      </c>
      <c r="F57">
        <f>regression!F57</f>
        <v>0.53678691651575272</v>
      </c>
      <c r="G57">
        <f>regression!G57</f>
        <v>0.63600000000000001</v>
      </c>
      <c r="H57">
        <f>regression!H57</f>
        <v>0.92</v>
      </c>
      <c r="I57">
        <f t="shared" si="0"/>
        <v>-0.4900168987434137</v>
      </c>
    </row>
    <row r="58" spans="1:9" x14ac:dyDescent="0.25">
      <c r="A58">
        <f>regression!A58</f>
        <v>2008</v>
      </c>
      <c r="B58">
        <f>regression!B58</f>
        <v>76</v>
      </c>
      <c r="C58" t="str">
        <f>regression!C58</f>
        <v>Retail</v>
      </c>
      <c r="D58" t="str">
        <f>regression!D58</f>
        <v>Sr. Unsec.</v>
      </c>
      <c r="E58">
        <f>regression!E58</f>
        <v>0.76185368344187743</v>
      </c>
      <c r="F58">
        <f>regression!F58</f>
        <v>0.32164929729042352</v>
      </c>
      <c r="G58">
        <f>regression!G58</f>
        <v>0.63600000000000001</v>
      </c>
      <c r="H58">
        <f>regression!H58</f>
        <v>1.802</v>
      </c>
      <c r="I58">
        <f t="shared" si="0"/>
        <v>0.1202599847568081</v>
      </c>
    </row>
    <row r="59" spans="1:9" x14ac:dyDescent="0.25">
      <c r="A59">
        <f>regression!A59</f>
        <v>2008</v>
      </c>
      <c r="B59">
        <f>regression!B59</f>
        <v>76</v>
      </c>
      <c r="C59" t="str">
        <f>regression!C59</f>
        <v>Retail</v>
      </c>
      <c r="D59" t="str">
        <f>regression!D59</f>
        <v>Sr. Sub.</v>
      </c>
      <c r="E59">
        <f>regression!E59</f>
        <v>0.9477402786612511</v>
      </c>
      <c r="F59">
        <f>regression!F59</f>
        <v>0.32164929729042352</v>
      </c>
      <c r="G59">
        <f>regression!G59</f>
        <v>0.68120000000000003</v>
      </c>
      <c r="H59">
        <f>regression!H59</f>
        <v>1.802</v>
      </c>
      <c r="I59">
        <f t="shared" si="0"/>
        <v>0.90525393941836141</v>
      </c>
    </row>
    <row r="60" spans="1:9" x14ac:dyDescent="0.25">
      <c r="A60">
        <f>regression!A60</f>
        <v>2008</v>
      </c>
      <c r="B60">
        <f>regression!B60</f>
        <v>77</v>
      </c>
      <c r="C60" t="str">
        <f>regression!C60</f>
        <v>Tech</v>
      </c>
      <c r="D60" t="str">
        <f>regression!D60</f>
        <v>Sr. Sub.</v>
      </c>
      <c r="E60">
        <f>regression!E60</f>
        <v>0.92564317133724694</v>
      </c>
      <c r="F60">
        <f>regression!F60</f>
        <v>0.2797087420340863</v>
      </c>
      <c r="G60">
        <f>regression!G60</f>
        <v>0.68120000000000003</v>
      </c>
      <c r="H60">
        <f>regression!H60</f>
        <v>0.48599999999999999</v>
      </c>
      <c r="I60">
        <f t="shared" si="0"/>
        <v>0.75279621129529706</v>
      </c>
    </row>
    <row r="61" spans="1:9" x14ac:dyDescent="0.25">
      <c r="A61">
        <f>regression!A61</f>
        <v>2008</v>
      </c>
      <c r="B61">
        <f>regression!B61</f>
        <v>78</v>
      </c>
      <c r="C61" t="str">
        <f>regression!C61</f>
        <v>Energy</v>
      </c>
      <c r="D61" t="str">
        <f>regression!D61</f>
        <v>Sr. Sec.</v>
      </c>
      <c r="E61">
        <f>regression!E61</f>
        <v>3.744355867767335E-2</v>
      </c>
      <c r="F61">
        <f>regression!F61</f>
        <v>0.24778868787631703</v>
      </c>
      <c r="G61">
        <f>regression!G61</f>
        <v>0.48199999999999998</v>
      </c>
      <c r="H61">
        <f>regression!H61</f>
        <v>0</v>
      </c>
      <c r="I61">
        <f t="shared" si="0"/>
        <v>-2.1874692355356764</v>
      </c>
    </row>
    <row r="62" spans="1:9" x14ac:dyDescent="0.25">
      <c r="A62">
        <f>regression!A62</f>
        <v>2008</v>
      </c>
      <c r="B62">
        <f>regression!B62</f>
        <v>79</v>
      </c>
      <c r="C62" t="str">
        <f>regression!C62</f>
        <v>Tech</v>
      </c>
      <c r="D62" t="str">
        <f>regression!D62</f>
        <v>Sr. Unsec.</v>
      </c>
      <c r="E62">
        <f>regression!E62</f>
        <v>0.88050540745258332</v>
      </c>
      <c r="F62">
        <f>regression!F62</f>
        <v>0.33122836011382145</v>
      </c>
      <c r="G62">
        <f>regression!G62</f>
        <v>0.63600000000000001</v>
      </c>
      <c r="H62">
        <f>regression!H62</f>
        <v>0.48599999999999999</v>
      </c>
      <c r="I62">
        <f t="shared" si="0"/>
        <v>0.52433792719814865</v>
      </c>
    </row>
    <row r="63" spans="1:9" x14ac:dyDescent="0.25">
      <c r="A63">
        <f>regression!A63</f>
        <v>2008</v>
      </c>
      <c r="B63">
        <f>regression!B63</f>
        <v>80</v>
      </c>
      <c r="C63" t="str">
        <f>regression!C63</f>
        <v>Transp</v>
      </c>
      <c r="D63" t="str">
        <f>regression!D63</f>
        <v>Sr. Sec.</v>
      </c>
      <c r="E63">
        <f>regression!E63</f>
        <v>0.44658885968923567</v>
      </c>
      <c r="F63">
        <f>regression!F63</f>
        <v>0.56338273141383655</v>
      </c>
      <c r="G63">
        <f>regression!G63</f>
        <v>0.48199999999999998</v>
      </c>
      <c r="H63">
        <f>regression!H63</f>
        <v>0</v>
      </c>
      <c r="I63">
        <f t="shared" si="0"/>
        <v>-0.63476812074199529</v>
      </c>
    </row>
    <row r="64" spans="1:9" x14ac:dyDescent="0.25">
      <c r="A64">
        <f>regression!A64</f>
        <v>2008</v>
      </c>
      <c r="B64">
        <f>regression!B64</f>
        <v>81</v>
      </c>
      <c r="C64" t="str">
        <f>regression!C64</f>
        <v>Retail</v>
      </c>
      <c r="D64" t="str">
        <f>regression!D64</f>
        <v>Sr. Unsec.</v>
      </c>
      <c r="E64">
        <f>regression!E64</f>
        <v>0.74106035563117267</v>
      </c>
      <c r="F64">
        <f>regression!F64</f>
        <v>0.92494487850163598</v>
      </c>
      <c r="G64">
        <f>regression!G64</f>
        <v>0.63600000000000001</v>
      </c>
      <c r="H64">
        <f>regression!H64</f>
        <v>1.802</v>
      </c>
      <c r="I64">
        <f t="shared" si="0"/>
        <v>6.264507810650688E-2</v>
      </c>
    </row>
    <row r="65" spans="1:9" x14ac:dyDescent="0.25">
      <c r="A65">
        <f>regression!A65</f>
        <v>2008</v>
      </c>
      <c r="B65">
        <f>regression!B65</f>
        <v>81</v>
      </c>
      <c r="C65" t="str">
        <f>regression!C65</f>
        <v>Retail</v>
      </c>
      <c r="D65" t="str">
        <f>regression!D65</f>
        <v>Sr. Sub.</v>
      </c>
      <c r="E65">
        <f>regression!E65</f>
        <v>0.89810229246509077</v>
      </c>
      <c r="F65">
        <f>regression!F65</f>
        <v>0.92494487850163598</v>
      </c>
      <c r="G65">
        <f>regression!G65</f>
        <v>0.68120000000000003</v>
      </c>
      <c r="H65">
        <f>regression!H65</f>
        <v>1.802</v>
      </c>
      <c r="I65">
        <f t="shared" si="0"/>
        <v>0.60453546587430584</v>
      </c>
    </row>
    <row r="66" spans="1:9" x14ac:dyDescent="0.25">
      <c r="A66">
        <f>regression!A66</f>
        <v>2008</v>
      </c>
      <c r="B66">
        <f>regression!B66</f>
        <v>82</v>
      </c>
      <c r="C66" t="str">
        <f>regression!C66</f>
        <v>Tech</v>
      </c>
      <c r="D66" t="str">
        <f>regression!D66</f>
        <v>Sr. Sub.</v>
      </c>
      <c r="E66">
        <f>regression!E66</f>
        <v>0.93325690681934359</v>
      </c>
      <c r="F66">
        <f>regression!F66</f>
        <v>0.81772805058931131</v>
      </c>
      <c r="G66">
        <f>regression!G66</f>
        <v>0.68120000000000003</v>
      </c>
      <c r="H66">
        <f>regression!H66</f>
        <v>0.48599999999999999</v>
      </c>
      <c r="I66">
        <f t="shared" si="0"/>
        <v>0.80087045169737137</v>
      </c>
    </row>
    <row r="67" spans="1:9" x14ac:dyDescent="0.25">
      <c r="A67">
        <f>regression!A67</f>
        <v>2008</v>
      </c>
      <c r="B67">
        <f>regression!B67</f>
        <v>83</v>
      </c>
      <c r="C67" t="str">
        <f>regression!C67</f>
        <v>Transp</v>
      </c>
      <c r="D67" t="str">
        <f>regression!D67</f>
        <v>Sr. Sec.</v>
      </c>
      <c r="E67">
        <f>regression!E67</f>
        <v>0.75077997510433203</v>
      </c>
      <c r="F67">
        <f>regression!F67</f>
        <v>0.54429782382962077</v>
      </c>
      <c r="G67">
        <f>regression!G67</f>
        <v>0.48199999999999998</v>
      </c>
      <c r="H67">
        <f>regression!H67</f>
        <v>0</v>
      </c>
      <c r="I67">
        <f t="shared" ref="I67:I130" si="2">NORMSINV(BETADIST(E67,L$14,L$15))</f>
        <v>8.9276103440682264E-2</v>
      </c>
    </row>
    <row r="68" spans="1:9" x14ac:dyDescent="0.25">
      <c r="A68">
        <f>regression!A68</f>
        <v>2008</v>
      </c>
      <c r="B68">
        <f>regression!B68</f>
        <v>83</v>
      </c>
      <c r="C68" t="str">
        <f>regression!C68</f>
        <v>Transp</v>
      </c>
      <c r="D68" t="str">
        <f>regression!D68</f>
        <v>Sr. Unsec.</v>
      </c>
      <c r="E68">
        <f>regression!E68</f>
        <v>0.96189763247966764</v>
      </c>
      <c r="F68">
        <f>regression!F68</f>
        <v>0.54429782382962077</v>
      </c>
      <c r="G68">
        <f>regression!G68</f>
        <v>0.63600000000000001</v>
      </c>
      <c r="H68">
        <f>regression!H68</f>
        <v>0</v>
      </c>
      <c r="I68">
        <f t="shared" si="2"/>
        <v>1.0320214586816956</v>
      </c>
    </row>
    <row r="69" spans="1:9" x14ac:dyDescent="0.25">
      <c r="A69">
        <f>regression!A69</f>
        <v>2008</v>
      </c>
      <c r="B69">
        <f>regression!B69</f>
        <v>84</v>
      </c>
      <c r="C69" t="str">
        <f>regression!C69</f>
        <v>Media</v>
      </c>
      <c r="D69" t="str">
        <f>regression!D69</f>
        <v>Sr. Sub.</v>
      </c>
      <c r="E69">
        <f>regression!E69</f>
        <v>0.98439273302692176</v>
      </c>
      <c r="F69">
        <f>regression!F69</f>
        <v>0.694189569064391</v>
      </c>
      <c r="G69">
        <f>regression!G69</f>
        <v>0.68120000000000003</v>
      </c>
      <c r="H69">
        <f>regression!H69</f>
        <v>0.92</v>
      </c>
      <c r="I69">
        <f t="shared" si="2"/>
        <v>1.3520525403620485</v>
      </c>
    </row>
    <row r="70" spans="1:9" x14ac:dyDescent="0.25">
      <c r="A70">
        <f>regression!A70</f>
        <v>2008</v>
      </c>
      <c r="B70">
        <f>regression!B70</f>
        <v>85</v>
      </c>
      <c r="C70" t="str">
        <f>regression!C70</f>
        <v>Media</v>
      </c>
      <c r="D70" t="str">
        <f>regression!D70</f>
        <v>Sr. Unsec.</v>
      </c>
      <c r="E70">
        <f>regression!E70</f>
        <v>0.7403414081335068</v>
      </c>
      <c r="F70">
        <f>regression!F70</f>
        <v>0.40868145153032109</v>
      </c>
      <c r="G70">
        <f>regression!G70</f>
        <v>0.63600000000000001</v>
      </c>
      <c r="H70">
        <f>regression!H70</f>
        <v>0.92</v>
      </c>
      <c r="I70">
        <f t="shared" si="2"/>
        <v>6.0694832368729197E-2</v>
      </c>
    </row>
    <row r="71" spans="1:9" x14ac:dyDescent="0.25">
      <c r="A71">
        <f>regression!A71</f>
        <v>2008</v>
      </c>
      <c r="B71">
        <f>regression!B71</f>
        <v>86</v>
      </c>
      <c r="C71" t="str">
        <f>regression!C71</f>
        <v>Cons G</v>
      </c>
      <c r="D71" t="str">
        <f>regression!D71</f>
        <v>Sr. Sec.</v>
      </c>
      <c r="E71">
        <f>regression!E71</f>
        <v>0.5812522217988968</v>
      </c>
      <c r="F71">
        <f>regression!F71</f>
        <v>0.56725366780919362</v>
      </c>
      <c r="G71">
        <f>regression!G71</f>
        <v>0.48199999999999998</v>
      </c>
      <c r="H71">
        <f>regression!H71</f>
        <v>0.65100000000000002</v>
      </c>
      <c r="I71">
        <f t="shared" si="2"/>
        <v>-0.32881849071464914</v>
      </c>
    </row>
    <row r="72" spans="1:9" x14ac:dyDescent="0.25">
      <c r="A72">
        <f>regression!A72</f>
        <v>2008</v>
      </c>
      <c r="B72">
        <f>regression!B72</f>
        <v>87</v>
      </c>
      <c r="C72" t="str">
        <f>regression!C72</f>
        <v>Tech</v>
      </c>
      <c r="D72" t="str">
        <f>regression!D72</f>
        <v>Sr. Unsec.</v>
      </c>
      <c r="E72">
        <f>regression!E72</f>
        <v>0.37784654041051868</v>
      </c>
      <c r="F72">
        <f>regression!F72</f>
        <v>0.73434035507544626</v>
      </c>
      <c r="G72">
        <f>regression!G72</f>
        <v>0.63600000000000001</v>
      </c>
      <c r="H72">
        <f>regression!H72</f>
        <v>0.48599999999999999</v>
      </c>
      <c r="I72">
        <f t="shared" si="2"/>
        <v>-0.79603312703478535</v>
      </c>
    </row>
    <row r="73" spans="1:9" x14ac:dyDescent="0.25">
      <c r="A73">
        <f>regression!A73</f>
        <v>2008</v>
      </c>
      <c r="B73">
        <f>regression!B73</f>
        <v>87</v>
      </c>
      <c r="C73" t="str">
        <f>regression!C73</f>
        <v>Tech</v>
      </c>
      <c r="D73" t="str">
        <f>regression!D73</f>
        <v>Sub.</v>
      </c>
      <c r="E73">
        <f>regression!E73</f>
        <v>0.24836604337394241</v>
      </c>
      <c r="F73">
        <f>regression!F73</f>
        <v>0.73434035507544626</v>
      </c>
      <c r="G73">
        <f>regression!G73</f>
        <v>0.71120000000000005</v>
      </c>
      <c r="H73">
        <f>regression!H73</f>
        <v>0.48599999999999999</v>
      </c>
      <c r="I73">
        <f t="shared" si="2"/>
        <v>-1.136226133357829</v>
      </c>
    </row>
    <row r="74" spans="1:9" x14ac:dyDescent="0.25">
      <c r="A74">
        <f>regression!A74</f>
        <v>2008</v>
      </c>
      <c r="B74">
        <f>regression!B74</f>
        <v>88</v>
      </c>
      <c r="C74" t="str">
        <f>regression!C74</f>
        <v>Retail</v>
      </c>
      <c r="D74" t="str">
        <f>regression!D74</f>
        <v>Sr. Sub.</v>
      </c>
      <c r="E74">
        <f>regression!E74</f>
        <v>0.99</v>
      </c>
      <c r="F74">
        <f>regression!F74</f>
        <v>0.52206271546701233</v>
      </c>
      <c r="G74">
        <f>regression!G74</f>
        <v>0.68120000000000003</v>
      </c>
      <c r="H74">
        <f>regression!H74</f>
        <v>1.802</v>
      </c>
      <c r="I74">
        <f t="shared" si="2"/>
        <v>1.4954060676963419</v>
      </c>
    </row>
    <row r="75" spans="1:9" x14ac:dyDescent="0.25">
      <c r="A75">
        <f>regression!A75</f>
        <v>2008</v>
      </c>
      <c r="B75">
        <f>regression!B75</f>
        <v>89</v>
      </c>
      <c r="C75" t="str">
        <f>regression!C75</f>
        <v>Retail</v>
      </c>
      <c r="D75" t="str">
        <f>regression!D75</f>
        <v>Sr. Sub.</v>
      </c>
      <c r="E75">
        <f>regression!E75</f>
        <v>0.87525740684866904</v>
      </c>
      <c r="F75">
        <f>regression!F75</f>
        <v>0.95318870342777562</v>
      </c>
      <c r="G75">
        <f>regression!G75</f>
        <v>0.68120000000000003</v>
      </c>
      <c r="H75">
        <f>regression!H75</f>
        <v>1.802</v>
      </c>
      <c r="I75">
        <f t="shared" si="2"/>
        <v>0.50201246833159874</v>
      </c>
    </row>
    <row r="76" spans="1:9" x14ac:dyDescent="0.25">
      <c r="A76">
        <f>regression!A76</f>
        <v>2008</v>
      </c>
      <c r="B76">
        <f>regression!B76</f>
        <v>90</v>
      </c>
      <c r="C76" t="str">
        <f>regression!C76</f>
        <v>Media</v>
      </c>
      <c r="D76" t="str">
        <f>regression!D76</f>
        <v>Sr. Unsec.</v>
      </c>
      <c r="E76">
        <f>regression!E76</f>
        <v>0.91139864739155774</v>
      </c>
      <c r="F76">
        <f>regression!F76</f>
        <v>0.83699916150606346</v>
      </c>
      <c r="G76">
        <f>regression!G76</f>
        <v>0.63600000000000001</v>
      </c>
      <c r="H76">
        <f>regression!H76</f>
        <v>0.92</v>
      </c>
      <c r="I76">
        <f t="shared" si="2"/>
        <v>0.67190189761887575</v>
      </c>
    </row>
    <row r="77" spans="1:9" x14ac:dyDescent="0.25">
      <c r="A77">
        <f>regression!A77</f>
        <v>2008</v>
      </c>
      <c r="B77">
        <f>regression!B77</f>
        <v>92</v>
      </c>
      <c r="C77" t="str">
        <f>regression!C77</f>
        <v>Tech</v>
      </c>
      <c r="D77" t="str">
        <f>regression!D77</f>
        <v>Sr. Unsec.</v>
      </c>
      <c r="E77">
        <f>regression!E77</f>
        <v>0.89476252312660221</v>
      </c>
      <c r="F77">
        <f>regression!F77</f>
        <v>0.74755604917707652</v>
      </c>
      <c r="G77">
        <f>regression!G77</f>
        <v>0.63600000000000001</v>
      </c>
      <c r="H77">
        <f>regression!H77</f>
        <v>0.48599999999999999</v>
      </c>
      <c r="I77">
        <f t="shared" si="2"/>
        <v>0.58860923875048632</v>
      </c>
    </row>
    <row r="78" spans="1:9" x14ac:dyDescent="0.25">
      <c r="A78">
        <f>regression!A78</f>
        <v>2008</v>
      </c>
      <c r="B78">
        <f>regression!B78</f>
        <v>94</v>
      </c>
      <c r="C78" t="str">
        <f>regression!C78</f>
        <v>Retail</v>
      </c>
      <c r="D78" t="str">
        <f>regression!D78</f>
        <v>Sr. Unsec.</v>
      </c>
      <c r="E78">
        <f>regression!E78</f>
        <v>0.97135278132557867</v>
      </c>
      <c r="F78">
        <f>regression!F78</f>
        <v>0.61874319906178898</v>
      </c>
      <c r="G78">
        <f>regression!G78</f>
        <v>0.63600000000000001</v>
      </c>
      <c r="H78">
        <f>regression!H78</f>
        <v>1.802</v>
      </c>
      <c r="I78">
        <f t="shared" si="2"/>
        <v>1.1398006919803985</v>
      </c>
    </row>
    <row r="79" spans="1:9" x14ac:dyDescent="0.25">
      <c r="A79">
        <f>regression!A79</f>
        <v>2008</v>
      </c>
      <c r="B79">
        <f>regression!B79</f>
        <v>95</v>
      </c>
      <c r="C79" t="str">
        <f>regression!C79</f>
        <v>Cons G</v>
      </c>
      <c r="D79" t="str">
        <f>regression!D79</f>
        <v>Sr. Sec.</v>
      </c>
      <c r="E79">
        <f>regression!E79</f>
        <v>0.41494040352106099</v>
      </c>
      <c r="F79">
        <f>regression!F79</f>
        <v>0.19787458683197831</v>
      </c>
      <c r="G79">
        <f>regression!G79</f>
        <v>0.48199999999999998</v>
      </c>
      <c r="H79">
        <f>regression!H79</f>
        <v>0.65100000000000002</v>
      </c>
      <c r="I79">
        <f t="shared" si="2"/>
        <v>-0.70807636032922772</v>
      </c>
    </row>
    <row r="80" spans="1:9" x14ac:dyDescent="0.25">
      <c r="A80">
        <f>regression!A80</f>
        <v>2008</v>
      </c>
      <c r="B80">
        <f>regression!B80</f>
        <v>96</v>
      </c>
      <c r="C80" t="str">
        <f>regression!C80</f>
        <v>Retail</v>
      </c>
      <c r="D80" t="str">
        <f>regression!D80</f>
        <v>Sr. Sub.</v>
      </c>
      <c r="E80">
        <f>regression!E80</f>
        <v>0.96787419640171524</v>
      </c>
      <c r="F80">
        <f>regression!F80</f>
        <v>0.66301312007118229</v>
      </c>
      <c r="G80">
        <f>regression!G80</f>
        <v>0.68120000000000003</v>
      </c>
      <c r="H80">
        <f>regression!H80</f>
        <v>1.802</v>
      </c>
      <c r="I80">
        <f t="shared" si="2"/>
        <v>1.0971903781590879</v>
      </c>
    </row>
    <row r="81" spans="1:9" x14ac:dyDescent="0.25">
      <c r="A81">
        <f>regression!A81</f>
        <v>2008</v>
      </c>
      <c r="B81">
        <f>regression!B81</f>
        <v>97</v>
      </c>
      <c r="C81" t="str">
        <f>regression!C81</f>
        <v>Media</v>
      </c>
      <c r="D81" t="str">
        <f>regression!D81</f>
        <v>Sr. Unsec.</v>
      </c>
      <c r="E81">
        <f>regression!E81</f>
        <v>0.96173890941143036</v>
      </c>
      <c r="F81">
        <f>regression!F81</f>
        <v>0.31763891494624574</v>
      </c>
      <c r="G81">
        <f>regression!G81</f>
        <v>0.63600000000000001</v>
      </c>
      <c r="H81">
        <f>regression!H81</f>
        <v>0.92</v>
      </c>
      <c r="I81">
        <f t="shared" si="2"/>
        <v>1.0304064597533167</v>
      </c>
    </row>
    <row r="82" spans="1:9" x14ac:dyDescent="0.25">
      <c r="A82">
        <f>regression!A82</f>
        <v>2008</v>
      </c>
      <c r="B82">
        <f>regression!B82</f>
        <v>97</v>
      </c>
      <c r="C82" t="str">
        <f>regression!C82</f>
        <v>Media</v>
      </c>
      <c r="D82" t="str">
        <f>regression!D82</f>
        <v>Sub.</v>
      </c>
      <c r="E82">
        <f>regression!E82</f>
        <v>0.99</v>
      </c>
      <c r="F82">
        <f>regression!F82</f>
        <v>0.31763891494624574</v>
      </c>
      <c r="G82">
        <f>regression!G82</f>
        <v>0.71120000000000005</v>
      </c>
      <c r="H82">
        <f>regression!H82</f>
        <v>0.92</v>
      </c>
      <c r="I82">
        <f t="shared" si="2"/>
        <v>1.4954060676963419</v>
      </c>
    </row>
    <row r="83" spans="1:9" x14ac:dyDescent="0.25">
      <c r="A83">
        <f>regression!A83</f>
        <v>2008</v>
      </c>
      <c r="B83">
        <f>regression!B83</f>
        <v>101</v>
      </c>
      <c r="C83" t="str">
        <f>regression!C83</f>
        <v>Retail</v>
      </c>
      <c r="D83" t="str">
        <f>regression!D83</f>
        <v>Sr. Sub.</v>
      </c>
      <c r="E83">
        <f>regression!E83</f>
        <v>0.27172674984931955</v>
      </c>
      <c r="F83">
        <f>regression!F83</f>
        <v>8.3188082951673237E-2</v>
      </c>
      <c r="G83">
        <f>regression!G83</f>
        <v>0.68120000000000003</v>
      </c>
      <c r="H83">
        <f>regression!H83</f>
        <v>1.802</v>
      </c>
      <c r="I83">
        <f t="shared" si="2"/>
        <v>-1.0692670850140009</v>
      </c>
    </row>
    <row r="84" spans="1:9" x14ac:dyDescent="0.25">
      <c r="A84">
        <f>regression!A84</f>
        <v>2008</v>
      </c>
      <c r="B84">
        <f>regression!B84</f>
        <v>103</v>
      </c>
      <c r="C84" t="str">
        <f>regression!C84</f>
        <v>Transp</v>
      </c>
      <c r="D84" t="str">
        <f>regression!D84</f>
        <v>Sr. Sec.</v>
      </c>
      <c r="E84">
        <f>regression!E84</f>
        <v>0.69783712044209245</v>
      </c>
      <c r="F84">
        <f>regression!F84</f>
        <v>0.37310963843781886</v>
      </c>
      <c r="G84">
        <f>regression!G84</f>
        <v>0.48199999999999998</v>
      </c>
      <c r="H84">
        <f>regression!H84</f>
        <v>0</v>
      </c>
      <c r="I84">
        <f t="shared" si="2"/>
        <v>-5.0487315987610477E-2</v>
      </c>
    </row>
    <row r="85" spans="1:9" x14ac:dyDescent="0.25">
      <c r="A85">
        <f>regression!A85</f>
        <v>2008</v>
      </c>
      <c r="B85">
        <f>regression!B85</f>
        <v>104</v>
      </c>
      <c r="C85" t="str">
        <f>regression!C85</f>
        <v>Cap Ind</v>
      </c>
      <c r="D85" t="str">
        <f>regression!D85</f>
        <v>Sr. Unsec.</v>
      </c>
      <c r="E85">
        <f>regression!E85</f>
        <v>0.99</v>
      </c>
      <c r="F85">
        <f>regression!F85</f>
        <v>0.38618972479681807</v>
      </c>
      <c r="G85">
        <f>regression!G85</f>
        <v>0.63600000000000001</v>
      </c>
      <c r="H85">
        <f>regression!H85</f>
        <v>0.71499999999999997</v>
      </c>
      <c r="I85">
        <f t="shared" si="2"/>
        <v>1.4954060676963419</v>
      </c>
    </row>
    <row r="86" spans="1:9" x14ac:dyDescent="0.25">
      <c r="A86">
        <f>regression!A86</f>
        <v>2008</v>
      </c>
      <c r="B86">
        <f>regression!B86</f>
        <v>105</v>
      </c>
      <c r="C86" t="str">
        <f>regression!C86</f>
        <v>Media</v>
      </c>
      <c r="D86" t="str">
        <f>regression!D86</f>
        <v>Sr. Unsec.</v>
      </c>
      <c r="E86">
        <f>regression!E86</f>
        <v>0.46285301174968485</v>
      </c>
      <c r="F86">
        <f>regression!F86</f>
        <v>0.64926495066044143</v>
      </c>
      <c r="G86">
        <f>regression!G86</f>
        <v>0.63600000000000001</v>
      </c>
      <c r="H86">
        <f>regression!H86</f>
        <v>0.92</v>
      </c>
      <c r="I86">
        <f t="shared" si="2"/>
        <v>-0.59753203197162719</v>
      </c>
    </row>
    <row r="87" spans="1:9" x14ac:dyDescent="0.25">
      <c r="A87">
        <f>regression!A87</f>
        <v>2008</v>
      </c>
      <c r="B87">
        <f>regression!B87</f>
        <v>106</v>
      </c>
      <c r="C87" t="str">
        <f>regression!C87</f>
        <v>Media</v>
      </c>
      <c r="D87" t="str">
        <f>regression!D87</f>
        <v>Sr. Sub.</v>
      </c>
      <c r="E87">
        <f>regression!E87</f>
        <v>0.8950770333170891</v>
      </c>
      <c r="F87">
        <f>regression!F87</f>
        <v>0.44327176412729286</v>
      </c>
      <c r="G87">
        <f>regression!G87</f>
        <v>0.68120000000000003</v>
      </c>
      <c r="H87">
        <f>regression!H87</f>
        <v>0.92</v>
      </c>
      <c r="I87">
        <f t="shared" si="2"/>
        <v>0.59009370489374169</v>
      </c>
    </row>
    <row r="88" spans="1:9" x14ac:dyDescent="0.25">
      <c r="A88">
        <f>regression!A88</f>
        <v>2008</v>
      </c>
      <c r="B88">
        <f>regression!B88</f>
        <v>107</v>
      </c>
      <c r="C88" t="str">
        <f>regression!C88</f>
        <v>Retail</v>
      </c>
      <c r="D88" t="str">
        <f>regression!D88</f>
        <v>Sr. Unsec.</v>
      </c>
      <c r="E88">
        <f>regression!E88</f>
        <v>0.94002861753106115</v>
      </c>
      <c r="F88">
        <f>regression!F88</f>
        <v>0.42427551441304501</v>
      </c>
      <c r="G88">
        <f>regression!G88</f>
        <v>0.63600000000000001</v>
      </c>
      <c r="H88">
        <f>regression!H88</f>
        <v>1.802</v>
      </c>
      <c r="I88">
        <f t="shared" si="2"/>
        <v>0.84725200038627768</v>
      </c>
    </row>
    <row r="89" spans="1:9" x14ac:dyDescent="0.25">
      <c r="A89">
        <f>regression!A89</f>
        <v>2008</v>
      </c>
      <c r="B89">
        <f>regression!B89</f>
        <v>107</v>
      </c>
      <c r="C89" t="str">
        <f>regression!C89</f>
        <v>Retail</v>
      </c>
      <c r="D89" t="str">
        <f>regression!D89</f>
        <v>Sr. Sub.</v>
      </c>
      <c r="E89">
        <f>regression!E89</f>
        <v>0.99</v>
      </c>
      <c r="F89">
        <f>regression!F89</f>
        <v>0.42427551441304501</v>
      </c>
      <c r="G89">
        <f>regression!G89</f>
        <v>0.68120000000000003</v>
      </c>
      <c r="H89">
        <f>regression!H89</f>
        <v>1.802</v>
      </c>
      <c r="I89">
        <f t="shared" si="2"/>
        <v>1.4954060676963419</v>
      </c>
    </row>
    <row r="90" spans="1:9" x14ac:dyDescent="0.25">
      <c r="A90">
        <f>regression!A90</f>
        <v>2008</v>
      </c>
      <c r="B90">
        <f>regression!B90</f>
        <v>108</v>
      </c>
      <c r="C90" t="str">
        <f>regression!C90</f>
        <v>Tech</v>
      </c>
      <c r="D90" t="str">
        <f>regression!D90</f>
        <v>Sr. Unsec.</v>
      </c>
      <c r="E90">
        <f>regression!E90</f>
        <v>0.80151248413473364</v>
      </c>
      <c r="F90">
        <f>regression!F90</f>
        <v>0.90795402350256382</v>
      </c>
      <c r="G90">
        <f>regression!G90</f>
        <v>0.63600000000000001</v>
      </c>
      <c r="H90">
        <f>regression!H90</f>
        <v>0.48599999999999999</v>
      </c>
      <c r="I90">
        <f t="shared" si="2"/>
        <v>0.23804015507183993</v>
      </c>
    </row>
    <row r="91" spans="1:9" x14ac:dyDescent="0.25">
      <c r="A91">
        <f>regression!A91</f>
        <v>2008</v>
      </c>
      <c r="B91">
        <f>regression!B91</f>
        <v>109</v>
      </c>
      <c r="C91" t="str">
        <f>regression!C91</f>
        <v>Transp</v>
      </c>
      <c r="D91" t="str">
        <f>regression!D91</f>
        <v>Sr. Unsec.</v>
      </c>
      <c r="E91">
        <f>regression!E91</f>
        <v>0.71799845069324975</v>
      </c>
      <c r="F91">
        <f>regression!F91</f>
        <v>0.5730565842116091</v>
      </c>
      <c r="G91">
        <f>regression!G91</f>
        <v>0.63600000000000001</v>
      </c>
      <c r="H91">
        <f>regression!H91</f>
        <v>0</v>
      </c>
      <c r="I91">
        <f t="shared" si="2"/>
        <v>1.3086135284109187E-3</v>
      </c>
    </row>
    <row r="92" spans="1:9" x14ac:dyDescent="0.25">
      <c r="A92">
        <f>regression!A92</f>
        <v>2008</v>
      </c>
      <c r="B92">
        <f>regression!B92</f>
        <v>109</v>
      </c>
      <c r="C92" t="str">
        <f>regression!C92</f>
        <v>Transp</v>
      </c>
      <c r="D92" t="str">
        <f>regression!D92</f>
        <v>Sr. Sub.</v>
      </c>
      <c r="E92">
        <f>regression!E92</f>
        <v>0.46551657907664779</v>
      </c>
      <c r="F92">
        <f>regression!F92</f>
        <v>0.5730565842116091</v>
      </c>
      <c r="G92">
        <f>regression!G92</f>
        <v>0.68120000000000003</v>
      </c>
      <c r="H92">
        <f>regression!H92</f>
        <v>0</v>
      </c>
      <c r="I92">
        <f t="shared" si="2"/>
        <v>-0.59145556295347013</v>
      </c>
    </row>
    <row r="93" spans="1:9" x14ac:dyDescent="0.25">
      <c r="A93">
        <f>regression!A93</f>
        <v>2008</v>
      </c>
      <c r="B93">
        <f>regression!B93</f>
        <v>110</v>
      </c>
      <c r="C93" t="str">
        <f>regression!C93</f>
        <v>Cap Ind</v>
      </c>
      <c r="D93" t="str">
        <f>regression!D93</f>
        <v>Sr. Unsec.</v>
      </c>
      <c r="E93">
        <f>regression!E93</f>
        <v>0.29081846971511849</v>
      </c>
      <c r="F93">
        <f>regression!F93</f>
        <v>0.28582809913874851</v>
      </c>
      <c r="G93">
        <f>regression!G93</f>
        <v>0.63600000000000001</v>
      </c>
      <c r="H93">
        <f>regression!H93</f>
        <v>0.71499999999999997</v>
      </c>
      <c r="I93">
        <f t="shared" si="2"/>
        <v>-1.0168116392662512</v>
      </c>
    </row>
    <row r="94" spans="1:9" x14ac:dyDescent="0.25">
      <c r="A94">
        <f>regression!A94</f>
        <v>2008</v>
      </c>
      <c r="B94">
        <f>regression!B94</f>
        <v>112</v>
      </c>
      <c r="C94" t="str">
        <f>regression!C94</f>
        <v>Transp</v>
      </c>
      <c r="D94" t="str">
        <f>regression!D94</f>
        <v>Sr. Unsec.</v>
      </c>
      <c r="E94">
        <f>regression!E94</f>
        <v>0.33584004114037758</v>
      </c>
      <c r="F94">
        <f>regression!F94</f>
        <v>0.51</v>
      </c>
      <c r="G94">
        <f>regression!G94</f>
        <v>0.63600000000000001</v>
      </c>
      <c r="H94">
        <f>regression!H94</f>
        <v>0</v>
      </c>
      <c r="I94">
        <f t="shared" si="2"/>
        <v>-0.89947188499553199</v>
      </c>
    </row>
    <row r="95" spans="1:9" x14ac:dyDescent="0.25">
      <c r="A95">
        <f>regression!A95</f>
        <v>2008</v>
      </c>
      <c r="B95">
        <f>regression!B95</f>
        <v>113</v>
      </c>
      <c r="C95" t="str">
        <f>regression!C95</f>
        <v>Media</v>
      </c>
      <c r="D95" t="str">
        <f>regression!D95</f>
        <v>Sr. Unsec.</v>
      </c>
      <c r="E95">
        <f>regression!E95</f>
        <v>0.18713916675448417</v>
      </c>
      <c r="F95">
        <f>regression!F95</f>
        <v>0.30464169858182077</v>
      </c>
      <c r="G95">
        <f>regression!G95</f>
        <v>0.63600000000000001</v>
      </c>
      <c r="H95">
        <f>regression!H95</f>
        <v>0.92</v>
      </c>
      <c r="I95">
        <f t="shared" si="2"/>
        <v>-1.3315941453339797</v>
      </c>
    </row>
    <row r="96" spans="1:9" x14ac:dyDescent="0.25">
      <c r="A96">
        <f>regression!A96</f>
        <v>2008</v>
      </c>
      <c r="B96">
        <f>regression!B96</f>
        <v>114</v>
      </c>
      <c r="C96" t="str">
        <f>regression!C96</f>
        <v>Media</v>
      </c>
      <c r="D96" t="str">
        <f>regression!D96</f>
        <v>Sr. Unsec.</v>
      </c>
      <c r="E96">
        <f>regression!E96</f>
        <v>0.97137140524387355</v>
      </c>
      <c r="F96">
        <f>regression!F96</f>
        <v>0.67261373475313246</v>
      </c>
      <c r="G96">
        <f>regression!G96</f>
        <v>0.63600000000000001</v>
      </c>
      <c r="H96">
        <f>regression!H96</f>
        <v>0.92</v>
      </c>
      <c r="I96">
        <f t="shared" si="2"/>
        <v>1.140039944713382</v>
      </c>
    </row>
    <row r="97" spans="1:9" x14ac:dyDescent="0.25">
      <c r="A97">
        <f>regression!A97</f>
        <v>2008</v>
      </c>
      <c r="B97">
        <f>regression!B97</f>
        <v>114</v>
      </c>
      <c r="C97" t="str">
        <f>regression!C97</f>
        <v>Media</v>
      </c>
      <c r="D97" t="str">
        <f>regression!D97</f>
        <v>Sub.</v>
      </c>
      <c r="E97">
        <f>regression!E97</f>
        <v>0.99</v>
      </c>
      <c r="F97">
        <f>regression!F97</f>
        <v>0.67261373475313246</v>
      </c>
      <c r="G97">
        <f>regression!G97</f>
        <v>0.71120000000000005</v>
      </c>
      <c r="H97">
        <f>regression!H97</f>
        <v>0.92</v>
      </c>
      <c r="I97">
        <f t="shared" si="2"/>
        <v>1.4954060676963419</v>
      </c>
    </row>
    <row r="98" spans="1:9" x14ac:dyDescent="0.25">
      <c r="A98">
        <f>regression!A98</f>
        <v>2008</v>
      </c>
      <c r="B98">
        <f>regression!B98</f>
        <v>115</v>
      </c>
      <c r="C98" t="str">
        <f>regression!C98</f>
        <v>Transp</v>
      </c>
      <c r="D98" t="str">
        <f>regression!D98</f>
        <v>Sr. Unsec.</v>
      </c>
      <c r="E98">
        <f>regression!E98</f>
        <v>0.32264594677954916</v>
      </c>
      <c r="F98">
        <f>regression!F98</f>
        <v>7.258593982974812E-2</v>
      </c>
      <c r="G98">
        <f>regression!G98</f>
        <v>0.63600000000000001</v>
      </c>
      <c r="H98">
        <f>regression!H98</f>
        <v>0</v>
      </c>
      <c r="I98">
        <f t="shared" si="2"/>
        <v>-0.93305724155107239</v>
      </c>
    </row>
    <row r="99" spans="1:9" x14ac:dyDescent="0.25">
      <c r="A99">
        <f>regression!A99</f>
        <v>2008</v>
      </c>
      <c r="B99">
        <f>regression!B99</f>
        <v>117</v>
      </c>
      <c r="C99" t="str">
        <f>regression!C99</f>
        <v>Transp</v>
      </c>
      <c r="D99" t="str">
        <f>regression!D99</f>
        <v>Sr. Sec.</v>
      </c>
      <c r="E99">
        <f>regression!E99</f>
        <v>0.28635053664445875</v>
      </c>
      <c r="F99">
        <f>regression!F99</f>
        <v>0.1516781108947598</v>
      </c>
      <c r="G99">
        <f>regression!G99</f>
        <v>0.48199999999999998</v>
      </c>
      <c r="H99">
        <f>regression!H99</f>
        <v>0</v>
      </c>
      <c r="I99">
        <f t="shared" si="2"/>
        <v>-1.0289235091740057</v>
      </c>
    </row>
    <row r="100" spans="1:9" x14ac:dyDescent="0.25">
      <c r="A100">
        <f>regression!A100</f>
        <v>2008</v>
      </c>
      <c r="B100">
        <f>regression!B100</f>
        <v>118</v>
      </c>
      <c r="C100" t="str">
        <f>regression!C100</f>
        <v>Retail</v>
      </c>
      <c r="D100" t="str">
        <f>regression!D100</f>
        <v>Sr. Unsec.</v>
      </c>
      <c r="E100">
        <f>regression!E100</f>
        <v>0.55920900090932846</v>
      </c>
      <c r="F100">
        <f>regression!F100</f>
        <v>0.26190642057196828</v>
      </c>
      <c r="G100">
        <f>regression!G100</f>
        <v>0.63600000000000001</v>
      </c>
      <c r="H100">
        <f>regression!H100</f>
        <v>1.802</v>
      </c>
      <c r="I100">
        <f t="shared" si="2"/>
        <v>-0.37911127286273505</v>
      </c>
    </row>
    <row r="101" spans="1:9" x14ac:dyDescent="0.25">
      <c r="A101">
        <f>regression!A101</f>
        <v>2008</v>
      </c>
      <c r="B101">
        <f>regression!B101</f>
        <v>119</v>
      </c>
      <c r="C101" t="str">
        <f>regression!C101</f>
        <v>Media</v>
      </c>
      <c r="D101" t="str">
        <f>regression!D101</f>
        <v>Sr. Unsec.</v>
      </c>
      <c r="E101">
        <f>regression!E101</f>
        <v>0.99</v>
      </c>
      <c r="F101">
        <f>regression!F101</f>
        <v>0.55367934354280579</v>
      </c>
      <c r="G101">
        <f>regression!G101</f>
        <v>0.63600000000000001</v>
      </c>
      <c r="H101">
        <f>regression!H101</f>
        <v>0.92</v>
      </c>
      <c r="I101">
        <f t="shared" si="2"/>
        <v>1.4954060676963419</v>
      </c>
    </row>
    <row r="102" spans="1:9" x14ac:dyDescent="0.25">
      <c r="A102">
        <f>regression!A102</f>
        <v>2008</v>
      </c>
      <c r="B102">
        <f>regression!B102</f>
        <v>120</v>
      </c>
      <c r="C102" t="str">
        <f>regression!C102</f>
        <v>Retail</v>
      </c>
      <c r="D102" t="str">
        <f>regression!D102</f>
        <v>Sr. Sub.</v>
      </c>
      <c r="E102">
        <f>regression!E102</f>
        <v>0.31125581919997924</v>
      </c>
      <c r="F102">
        <f>regression!F102</f>
        <v>0.30380197140973264</v>
      </c>
      <c r="G102">
        <f>regression!G102</f>
        <v>0.68120000000000003</v>
      </c>
      <c r="H102">
        <f>regression!H102</f>
        <v>1.802</v>
      </c>
      <c r="I102">
        <f t="shared" si="2"/>
        <v>-0.96255552457145244</v>
      </c>
    </row>
    <row r="103" spans="1:9" x14ac:dyDescent="0.25">
      <c r="A103">
        <f>regression!A103</f>
        <v>2008</v>
      </c>
      <c r="B103">
        <f>regression!B103</f>
        <v>121</v>
      </c>
      <c r="C103" t="str">
        <f>regression!C103</f>
        <v>Tech</v>
      </c>
      <c r="D103" t="str">
        <f>regression!D103</f>
        <v>Sr. Unsec.</v>
      </c>
      <c r="E103">
        <f>regression!E103</f>
        <v>0.93297019857168195</v>
      </c>
      <c r="F103">
        <f>regression!F103</f>
        <v>0.62613678209893253</v>
      </c>
      <c r="G103">
        <f>regression!G103</f>
        <v>0.63600000000000001</v>
      </c>
      <c r="H103">
        <f>regression!H103</f>
        <v>0.48599999999999999</v>
      </c>
      <c r="I103">
        <f t="shared" si="2"/>
        <v>0.79898716217777743</v>
      </c>
    </row>
    <row r="104" spans="1:9" x14ac:dyDescent="0.25">
      <c r="A104">
        <f>regression!A104</f>
        <v>2008</v>
      </c>
      <c r="B104">
        <f>regression!B104</f>
        <v>122</v>
      </c>
      <c r="C104" t="str">
        <f>regression!C104</f>
        <v>Transp</v>
      </c>
      <c r="D104" t="str">
        <f>regression!D104</f>
        <v>Sr. Unsec.</v>
      </c>
      <c r="E104">
        <f>regression!E104</f>
        <v>0.99</v>
      </c>
      <c r="F104">
        <f>regression!F104</f>
        <v>0.31731812403338355</v>
      </c>
      <c r="G104">
        <f>regression!G104</f>
        <v>0.63600000000000001</v>
      </c>
      <c r="H104">
        <f>regression!H104</f>
        <v>0</v>
      </c>
      <c r="I104">
        <f t="shared" si="2"/>
        <v>1.4954060676963419</v>
      </c>
    </row>
    <row r="105" spans="1:9" x14ac:dyDescent="0.25">
      <c r="A105">
        <f>regression!A105</f>
        <v>2008</v>
      </c>
      <c r="B105">
        <f>regression!B105</f>
        <v>123</v>
      </c>
      <c r="C105" t="str">
        <f>regression!C105</f>
        <v>Retail</v>
      </c>
      <c r="D105" t="str">
        <f>regression!D105</f>
        <v>Sr. Unsec.</v>
      </c>
      <c r="E105">
        <f>regression!E105</f>
        <v>0.75138366169929505</v>
      </c>
      <c r="F105">
        <f>regression!F105</f>
        <v>0.88304343069253255</v>
      </c>
      <c r="G105">
        <f>regression!G105</f>
        <v>0.63600000000000001</v>
      </c>
      <c r="H105">
        <f>regression!H105</f>
        <v>1.802</v>
      </c>
      <c r="I105">
        <f t="shared" si="2"/>
        <v>9.0947000990830154E-2</v>
      </c>
    </row>
    <row r="106" spans="1:9" x14ac:dyDescent="0.25">
      <c r="A106">
        <f>regression!A106</f>
        <v>2008</v>
      </c>
      <c r="B106">
        <f>regression!B106</f>
        <v>124</v>
      </c>
      <c r="C106" t="str">
        <f>regression!C106</f>
        <v>Cons G</v>
      </c>
      <c r="D106" t="str">
        <f>regression!D106</f>
        <v>Sr. Unsec.</v>
      </c>
      <c r="E106">
        <f>regression!E106</f>
        <v>0.69090181032019859</v>
      </c>
      <c r="F106">
        <f>regression!F106</f>
        <v>0.80898648367000381</v>
      </c>
      <c r="G106">
        <f>regression!G106</f>
        <v>0.63600000000000001</v>
      </c>
      <c r="H106">
        <f>regression!H106</f>
        <v>0.65100000000000002</v>
      </c>
      <c r="I106">
        <f t="shared" si="2"/>
        <v>-6.7965692347327397E-2</v>
      </c>
    </row>
    <row r="107" spans="1:9" x14ac:dyDescent="0.25">
      <c r="A107">
        <f>regression!A107</f>
        <v>2008</v>
      </c>
      <c r="B107">
        <f>regression!B107</f>
        <v>125</v>
      </c>
      <c r="C107" t="str">
        <f>regression!C107</f>
        <v>Cons G</v>
      </c>
      <c r="D107" t="str">
        <f>regression!D107</f>
        <v>Sr. Sec.</v>
      </c>
      <c r="E107">
        <f>regression!E107</f>
        <v>0.40545830129384997</v>
      </c>
      <c r="F107">
        <f>regression!F107</f>
        <v>0.29367431373295771</v>
      </c>
      <c r="G107">
        <f>regression!G107</f>
        <v>0.48199999999999998</v>
      </c>
      <c r="H107">
        <f>regression!H107</f>
        <v>0.65100000000000002</v>
      </c>
      <c r="I107">
        <f t="shared" si="2"/>
        <v>-0.73031959339531505</v>
      </c>
    </row>
    <row r="108" spans="1:9" x14ac:dyDescent="0.25">
      <c r="A108">
        <f>regression!A108</f>
        <v>2008</v>
      </c>
      <c r="B108">
        <f>regression!B108</f>
        <v>125</v>
      </c>
      <c r="C108" t="str">
        <f>regression!C108</f>
        <v>Cons G</v>
      </c>
      <c r="D108" t="str">
        <f>regression!D108</f>
        <v>Sr. Sub.</v>
      </c>
      <c r="E108">
        <f>regression!E108</f>
        <v>0.97146591430902485</v>
      </c>
      <c r="F108">
        <f>regression!F108</f>
        <v>0.29367431373295771</v>
      </c>
      <c r="G108">
        <f>regression!G108</f>
        <v>0.68120000000000003</v>
      </c>
      <c r="H108">
        <f>regression!H108</f>
        <v>0.65100000000000002</v>
      </c>
      <c r="I108">
        <f t="shared" si="2"/>
        <v>1.1412560269887715</v>
      </c>
    </row>
    <row r="109" spans="1:9" x14ac:dyDescent="0.25">
      <c r="A109">
        <f>regression!A109</f>
        <v>2008</v>
      </c>
      <c r="B109">
        <f>regression!B109</f>
        <v>126</v>
      </c>
      <c r="C109" t="str">
        <f>regression!C109</f>
        <v>Energy</v>
      </c>
      <c r="D109" t="str">
        <f>regression!D109</f>
        <v>Sr. Unsec.</v>
      </c>
      <c r="E109">
        <f>regression!E109</f>
        <v>0.96647910244464874</v>
      </c>
      <c r="F109">
        <f>regression!F109</f>
        <v>0.26052044828296522</v>
      </c>
      <c r="G109">
        <f>regression!G109</f>
        <v>0.63600000000000001</v>
      </c>
      <c r="H109">
        <f>regression!H109</f>
        <v>0</v>
      </c>
      <c r="I109">
        <f t="shared" si="2"/>
        <v>1.0811524596265092</v>
      </c>
    </row>
    <row r="110" spans="1:9" x14ac:dyDescent="0.25">
      <c r="A110">
        <f>regression!A110</f>
        <v>2008</v>
      </c>
      <c r="B110">
        <f>regression!B110</f>
        <v>127</v>
      </c>
      <c r="C110" t="str">
        <f>regression!C110</f>
        <v>Media</v>
      </c>
      <c r="D110" t="str">
        <f>regression!D110</f>
        <v>Sub.</v>
      </c>
      <c r="E110">
        <f>regression!E110</f>
        <v>0.9047814211249352</v>
      </c>
      <c r="F110">
        <f>regression!F110</f>
        <v>0.56308744944726985</v>
      </c>
      <c r="G110">
        <f>regression!G110</f>
        <v>0.71120000000000005</v>
      </c>
      <c r="H110">
        <f>regression!H110</f>
        <v>0.92</v>
      </c>
      <c r="I110">
        <f t="shared" si="2"/>
        <v>0.63753185569862625</v>
      </c>
    </row>
    <row r="111" spans="1:9" x14ac:dyDescent="0.25">
      <c r="A111">
        <f>regression!A111</f>
        <v>2008</v>
      </c>
      <c r="B111">
        <f>regression!B111</f>
        <v>129</v>
      </c>
      <c r="C111" t="str">
        <f>regression!C111</f>
        <v>Energy</v>
      </c>
      <c r="D111" t="str">
        <f>regression!D111</f>
        <v>Sr. Sec.</v>
      </c>
      <c r="E111">
        <f>regression!E111</f>
        <v>3.7434061872959168E-2</v>
      </c>
      <c r="F111">
        <f>regression!F111</f>
        <v>0.28672206041384307</v>
      </c>
      <c r="G111">
        <f>regression!G111</f>
        <v>0.48199999999999998</v>
      </c>
      <c r="H111">
        <f>regression!H111</f>
        <v>0</v>
      </c>
      <c r="I111">
        <f t="shared" si="2"/>
        <v>-2.1875828609888242</v>
      </c>
    </row>
    <row r="112" spans="1:9" x14ac:dyDescent="0.25">
      <c r="A112">
        <f>regression!A112</f>
        <v>2008</v>
      </c>
      <c r="B112">
        <f>regression!B112</f>
        <v>131</v>
      </c>
      <c r="C112" t="str">
        <f>regression!C112</f>
        <v>Retail</v>
      </c>
      <c r="D112" t="str">
        <f>regression!D112</f>
        <v>Sr. Unsec.</v>
      </c>
      <c r="E112">
        <f>regression!E112</f>
        <v>0.89032321428954597</v>
      </c>
      <c r="F112">
        <f>regression!F112</f>
        <v>0.3164972363445373</v>
      </c>
      <c r="G112">
        <f>regression!G112</f>
        <v>0.63600000000000001</v>
      </c>
      <c r="H112">
        <f>regression!H112</f>
        <v>1.802</v>
      </c>
      <c r="I112">
        <f t="shared" si="2"/>
        <v>0.56798040803116379</v>
      </c>
    </row>
    <row r="113" spans="1:9" x14ac:dyDescent="0.25">
      <c r="A113">
        <f>regression!A113</f>
        <v>2008</v>
      </c>
      <c r="B113">
        <f>regression!B113</f>
        <v>132</v>
      </c>
      <c r="C113" t="str">
        <f>regression!C113</f>
        <v>Media</v>
      </c>
      <c r="D113" t="str">
        <f>regression!D113</f>
        <v>Sr. Sub.</v>
      </c>
      <c r="E113">
        <f>regression!E113</f>
        <v>0.8080750613212585</v>
      </c>
      <c r="F113">
        <f>regression!F113</f>
        <v>0.67717724443868488</v>
      </c>
      <c r="G113">
        <f>regression!G113</f>
        <v>0.68120000000000003</v>
      </c>
      <c r="H113">
        <f>regression!H113</f>
        <v>0.92</v>
      </c>
      <c r="I113">
        <f t="shared" si="2"/>
        <v>0.25876772202782805</v>
      </c>
    </row>
    <row r="114" spans="1:9" x14ac:dyDescent="0.25">
      <c r="A114">
        <f>regression!A114</f>
        <v>2008</v>
      </c>
      <c r="B114">
        <f>regression!B114</f>
        <v>133</v>
      </c>
      <c r="C114" t="str">
        <f>regression!C114</f>
        <v>Retail</v>
      </c>
      <c r="D114" t="str">
        <f>regression!D114</f>
        <v>Sr. Sub.</v>
      </c>
      <c r="E114">
        <f>regression!E114</f>
        <v>0.80930909860134126</v>
      </c>
      <c r="F114">
        <f>regression!F114</f>
        <v>0.46760560482850022</v>
      </c>
      <c r="G114">
        <f>regression!G114</f>
        <v>0.68120000000000003</v>
      </c>
      <c r="H114">
        <f>regression!H114</f>
        <v>1.802</v>
      </c>
      <c r="I114">
        <f t="shared" si="2"/>
        <v>0.26271127840524272</v>
      </c>
    </row>
    <row r="115" spans="1:9" x14ac:dyDescent="0.25">
      <c r="A115">
        <f>regression!A115</f>
        <v>2008</v>
      </c>
      <c r="B115">
        <f>regression!B115</f>
        <v>134</v>
      </c>
      <c r="C115" t="str">
        <f>regression!C115</f>
        <v>Tech</v>
      </c>
      <c r="D115" t="str">
        <f>regression!D115</f>
        <v>Sr. Unsec.</v>
      </c>
      <c r="E115">
        <f>regression!E115</f>
        <v>0.60797972234487541</v>
      </c>
      <c r="F115">
        <f>regression!F115</f>
        <v>0.60037109241492548</v>
      </c>
      <c r="G115">
        <f>regression!G115</f>
        <v>0.63600000000000001</v>
      </c>
      <c r="H115">
        <f>regression!H115</f>
        <v>0.48599999999999999</v>
      </c>
      <c r="I115">
        <f t="shared" si="2"/>
        <v>-0.2672000533287589</v>
      </c>
    </row>
    <row r="116" spans="1:9" x14ac:dyDescent="0.25">
      <c r="A116">
        <f>regression!A116</f>
        <v>2008</v>
      </c>
      <c r="B116">
        <f>regression!B116</f>
        <v>135</v>
      </c>
      <c r="C116" t="str">
        <f>regression!C116</f>
        <v>Transp</v>
      </c>
      <c r="D116" t="str">
        <f>regression!D116</f>
        <v>Sr. Unsec.</v>
      </c>
      <c r="E116">
        <f>regression!E116</f>
        <v>0.80842303812503813</v>
      </c>
      <c r="F116">
        <f>regression!F116</f>
        <v>0.78147418480319919</v>
      </c>
      <c r="G116">
        <f>regression!G116</f>
        <v>0.63600000000000001</v>
      </c>
      <c r="H116">
        <f>regression!H116</f>
        <v>0</v>
      </c>
      <c r="I116">
        <f t="shared" si="2"/>
        <v>0.25987822802924981</v>
      </c>
    </row>
    <row r="117" spans="1:9" x14ac:dyDescent="0.25">
      <c r="A117">
        <f>regression!A117</f>
        <v>2008</v>
      </c>
      <c r="B117">
        <f>regression!B117</f>
        <v>136</v>
      </c>
      <c r="C117" t="str">
        <f>regression!C117</f>
        <v>Cons G</v>
      </c>
      <c r="D117" t="str">
        <f>regression!D117</f>
        <v>Sr. Unsec.</v>
      </c>
      <c r="E117">
        <f>regression!E117</f>
        <v>0.41977209057807918</v>
      </c>
      <c r="F117">
        <f>regression!F117</f>
        <v>0.80645348513496729</v>
      </c>
      <c r="G117">
        <f>regression!G117</f>
        <v>0.63600000000000001</v>
      </c>
      <c r="H117">
        <f>regression!H117</f>
        <v>0.65100000000000002</v>
      </c>
      <c r="I117">
        <f t="shared" si="2"/>
        <v>-0.69679693183449354</v>
      </c>
    </row>
    <row r="118" spans="1:9" x14ac:dyDescent="0.25">
      <c r="A118">
        <f>regression!A118</f>
        <v>2008</v>
      </c>
      <c r="B118">
        <f>regression!B118</f>
        <v>137</v>
      </c>
      <c r="C118" t="str">
        <f>regression!C118</f>
        <v>Cap Ind</v>
      </c>
      <c r="D118" t="str">
        <f>regression!D118</f>
        <v>Sr. Unsec.</v>
      </c>
      <c r="E118">
        <f>regression!E118</f>
        <v>0.32865962749719624</v>
      </c>
      <c r="F118">
        <f>regression!F118</f>
        <v>0.69813072254870745</v>
      </c>
      <c r="G118">
        <f>regression!G118</f>
        <v>0.63600000000000001</v>
      </c>
      <c r="H118">
        <f>regression!H118</f>
        <v>0.71499999999999997</v>
      </c>
      <c r="I118">
        <f t="shared" si="2"/>
        <v>-0.91767532786154393</v>
      </c>
    </row>
    <row r="119" spans="1:9" x14ac:dyDescent="0.25">
      <c r="A119">
        <f>regression!A119</f>
        <v>2008</v>
      </c>
      <c r="B119">
        <f>regression!B119</f>
        <v>138</v>
      </c>
      <c r="C119" t="str">
        <f>regression!C119</f>
        <v>Cons G</v>
      </c>
      <c r="D119" t="str">
        <f>regression!D119</f>
        <v>Sr. Unsec.</v>
      </c>
      <c r="E119">
        <f>regression!E119</f>
        <v>0.93339327968358998</v>
      </c>
      <c r="F119">
        <f>regression!F119</f>
        <v>0.74432607679842167</v>
      </c>
      <c r="G119">
        <f>regression!G119</f>
        <v>0.63600000000000001</v>
      </c>
      <c r="H119">
        <f>regression!H119</f>
        <v>0.65100000000000002</v>
      </c>
      <c r="I119">
        <f t="shared" si="2"/>
        <v>0.8017683881037817</v>
      </c>
    </row>
    <row r="120" spans="1:9" x14ac:dyDescent="0.25">
      <c r="A120">
        <f>regression!A120</f>
        <v>2009</v>
      </c>
      <c r="B120">
        <f>regression!B120</f>
        <v>201</v>
      </c>
      <c r="C120" t="str">
        <f>regression!C120</f>
        <v>Retail</v>
      </c>
      <c r="D120" t="str">
        <f>regression!D120</f>
        <v>Sr. Sub.</v>
      </c>
      <c r="E120">
        <f>regression!E120</f>
        <v>0.99</v>
      </c>
      <c r="F120">
        <f>regression!F120</f>
        <v>0.22438188279085836</v>
      </c>
      <c r="G120">
        <f>regression!G120</f>
        <v>0.70330000000000004</v>
      </c>
      <c r="H120">
        <f>regression!H120</f>
        <v>2.2469999999999999</v>
      </c>
      <c r="I120">
        <f t="shared" si="2"/>
        <v>1.4954060676963419</v>
      </c>
    </row>
    <row r="121" spans="1:9" x14ac:dyDescent="0.25">
      <c r="A121">
        <f>regression!A121</f>
        <v>2009</v>
      </c>
      <c r="B121">
        <f>regression!B121</f>
        <v>202</v>
      </c>
      <c r="C121" t="str">
        <f>regression!C121</f>
        <v>Tech</v>
      </c>
      <c r="D121" t="str">
        <f>regression!D121</f>
        <v>Sr. Unsec.</v>
      </c>
      <c r="E121">
        <f>regression!E121</f>
        <v>0.58567851135134696</v>
      </c>
      <c r="F121">
        <f>regression!F121</f>
        <v>0.54066819129018129</v>
      </c>
      <c r="G121">
        <f>regression!G121</f>
        <v>0.53820000000000001</v>
      </c>
      <c r="H121">
        <f>regression!H121</f>
        <v>1.1639999999999999</v>
      </c>
      <c r="I121">
        <f t="shared" si="2"/>
        <v>-0.31866933706162404</v>
      </c>
    </row>
    <row r="122" spans="1:9" x14ac:dyDescent="0.25">
      <c r="A122">
        <f>regression!A122</f>
        <v>2009</v>
      </c>
      <c r="B122">
        <f>regression!B122</f>
        <v>205</v>
      </c>
      <c r="C122" t="str">
        <f>regression!C122</f>
        <v>Media</v>
      </c>
      <c r="D122" t="str">
        <f>regression!D122</f>
        <v>Sr. Unsec.</v>
      </c>
      <c r="E122">
        <f>regression!E122</f>
        <v>0.23039194959998133</v>
      </c>
      <c r="F122">
        <f>regression!F122</f>
        <v>0.52771465447406485</v>
      </c>
      <c r="G122">
        <f>regression!G122</f>
        <v>0.53820000000000001</v>
      </c>
      <c r="H122">
        <f>regression!H122</f>
        <v>4.1470000000000002</v>
      </c>
      <c r="I122">
        <f t="shared" si="2"/>
        <v>-1.1902169071757989</v>
      </c>
    </row>
    <row r="123" spans="1:9" x14ac:dyDescent="0.25">
      <c r="A123">
        <f>regression!A123</f>
        <v>2009</v>
      </c>
      <c r="B123">
        <f>regression!B123</f>
        <v>206</v>
      </c>
      <c r="C123" t="str">
        <f>regression!C123</f>
        <v>Media</v>
      </c>
      <c r="D123" t="str">
        <f>regression!D123</f>
        <v>Sr. Unsec.</v>
      </c>
      <c r="E123">
        <f>regression!E123</f>
        <v>0.69939738728702072</v>
      </c>
      <c r="F123">
        <f>regression!F123</f>
        <v>0.85869526296473697</v>
      </c>
      <c r="G123">
        <f>regression!G123</f>
        <v>0.53820000000000001</v>
      </c>
      <c r="H123">
        <f>regression!H123</f>
        <v>4.1470000000000002</v>
      </c>
      <c r="I123">
        <f t="shared" si="2"/>
        <v>-4.6532529776859663E-2</v>
      </c>
    </row>
    <row r="124" spans="1:9" x14ac:dyDescent="0.25">
      <c r="A124">
        <f>regression!A124</f>
        <v>2009</v>
      </c>
      <c r="B124">
        <f>regression!B124</f>
        <v>209</v>
      </c>
      <c r="C124" t="str">
        <f>regression!C124</f>
        <v>Transp</v>
      </c>
      <c r="D124" t="str">
        <f>regression!D124</f>
        <v>Sr. Unsec.</v>
      </c>
      <c r="E124">
        <f>regression!E124</f>
        <v>0.78480637878179549</v>
      </c>
      <c r="F124">
        <f>regression!F124</f>
        <v>0.61585234327183769</v>
      </c>
      <c r="G124">
        <f>regression!G124</f>
        <v>0.53820000000000001</v>
      </c>
      <c r="H124">
        <f>regression!H124</f>
        <v>2.9630000000000001</v>
      </c>
      <c r="I124">
        <f t="shared" si="2"/>
        <v>0.18698061969766447</v>
      </c>
    </row>
    <row r="125" spans="1:9" x14ac:dyDescent="0.25">
      <c r="A125">
        <f>regression!A125</f>
        <v>2009</v>
      </c>
      <c r="B125">
        <f>regression!B125</f>
        <v>210</v>
      </c>
      <c r="C125" t="str">
        <f>regression!C125</f>
        <v>Retail</v>
      </c>
      <c r="D125" t="str">
        <f>regression!D125</f>
        <v>Sr. Unsec.</v>
      </c>
      <c r="E125">
        <f>regression!E125</f>
        <v>0.93517515173673627</v>
      </c>
      <c r="F125">
        <f>regression!F125</f>
        <v>0.72527069986236237</v>
      </c>
      <c r="G125">
        <f>regression!G125</f>
        <v>0.53820000000000001</v>
      </c>
      <c r="H125">
        <f>regression!H125</f>
        <v>2.2469999999999999</v>
      </c>
      <c r="I125">
        <f t="shared" si="2"/>
        <v>0.81363100498011121</v>
      </c>
    </row>
    <row r="126" spans="1:9" x14ac:dyDescent="0.25">
      <c r="A126">
        <f>regression!A126</f>
        <v>2009</v>
      </c>
      <c r="B126">
        <f>regression!B126</f>
        <v>211</v>
      </c>
      <c r="C126" t="str">
        <f>regression!C126</f>
        <v>Tech</v>
      </c>
      <c r="D126" t="str">
        <f>regression!D126</f>
        <v>Sr. Sec.</v>
      </c>
      <c r="E126">
        <f>regression!E126</f>
        <v>0.61824803304672238</v>
      </c>
      <c r="F126">
        <f>regression!F126</f>
        <v>0.7052215135721227</v>
      </c>
      <c r="G126">
        <f>regression!G126</f>
        <v>0.36450000000000005</v>
      </c>
      <c r="H126">
        <f>regression!H126</f>
        <v>1.1639999999999999</v>
      </c>
      <c r="I126">
        <f t="shared" si="2"/>
        <v>-0.24327907040672653</v>
      </c>
    </row>
    <row r="127" spans="1:9" x14ac:dyDescent="0.25">
      <c r="A127">
        <f>regression!A127</f>
        <v>2009</v>
      </c>
      <c r="B127">
        <f>regression!B127</f>
        <v>212</v>
      </c>
      <c r="C127" t="str">
        <f>regression!C127</f>
        <v>Transp</v>
      </c>
      <c r="D127" t="str">
        <f>regression!D127</f>
        <v>Sr. Unsec.</v>
      </c>
      <c r="E127">
        <f>regression!E127</f>
        <v>0.43045723815798764</v>
      </c>
      <c r="F127">
        <f>regression!F127</f>
        <v>0.67285132907658385</v>
      </c>
      <c r="G127">
        <f>regression!G127</f>
        <v>0.53820000000000001</v>
      </c>
      <c r="H127">
        <f>regression!H127</f>
        <v>2.9630000000000001</v>
      </c>
      <c r="I127">
        <f t="shared" si="2"/>
        <v>-0.67197230147580289</v>
      </c>
    </row>
    <row r="128" spans="1:9" x14ac:dyDescent="0.25">
      <c r="A128">
        <f>regression!A128</f>
        <v>2009</v>
      </c>
      <c r="B128">
        <f>regression!B128</f>
        <v>215</v>
      </c>
      <c r="C128" t="str">
        <f>regression!C128</f>
        <v>Retail</v>
      </c>
      <c r="D128" t="str">
        <f>regression!D128</f>
        <v>Sr. Unsec.</v>
      </c>
      <c r="E128">
        <f>regression!E128</f>
        <v>0.25063029731750486</v>
      </c>
      <c r="F128">
        <f>regression!F128</f>
        <v>0.38798333067414781</v>
      </c>
      <c r="G128">
        <f>regression!G128</f>
        <v>0.53820000000000001</v>
      </c>
      <c r="H128">
        <f>regression!H128</f>
        <v>2.2469999999999999</v>
      </c>
      <c r="I128">
        <f t="shared" si="2"/>
        <v>-1.129586555745878</v>
      </c>
    </row>
    <row r="129" spans="1:9" x14ac:dyDescent="0.25">
      <c r="A129">
        <f>regression!A129</f>
        <v>2009</v>
      </c>
      <c r="B129">
        <f>regression!B129</f>
        <v>217</v>
      </c>
      <c r="C129" t="str">
        <f>regression!C129</f>
        <v>Transp</v>
      </c>
      <c r="D129" t="str">
        <f>regression!D129</f>
        <v>Sr. Sub.</v>
      </c>
      <c r="E129">
        <f>regression!E129</f>
        <v>0.99</v>
      </c>
      <c r="F129">
        <f>regression!F129</f>
        <v>0.86532215976236571</v>
      </c>
      <c r="G129">
        <f>regression!G129</f>
        <v>0.70330000000000004</v>
      </c>
      <c r="H129">
        <f>regression!H129</f>
        <v>2.9630000000000001</v>
      </c>
      <c r="I129">
        <f t="shared" si="2"/>
        <v>1.4954060676963419</v>
      </c>
    </row>
    <row r="130" spans="1:9" x14ac:dyDescent="0.25">
      <c r="A130">
        <f>regression!A130</f>
        <v>2009</v>
      </c>
      <c r="B130">
        <f>regression!B130</f>
        <v>221</v>
      </c>
      <c r="C130" t="str">
        <f>regression!C130</f>
        <v>Cap Ind</v>
      </c>
      <c r="D130" t="str">
        <f>regression!D130</f>
        <v>Sr. Unsec.</v>
      </c>
      <c r="E130">
        <f>regression!E130</f>
        <v>0.98182044752299791</v>
      </c>
      <c r="F130">
        <f>regression!F130</f>
        <v>0.89541245407618697</v>
      </c>
      <c r="G130">
        <f>regression!G130</f>
        <v>0.53820000000000001</v>
      </c>
      <c r="H130">
        <f>regression!H130</f>
        <v>3.0710000000000002</v>
      </c>
      <c r="I130">
        <f t="shared" si="2"/>
        <v>1.300698700420627</v>
      </c>
    </row>
    <row r="131" spans="1:9" x14ac:dyDescent="0.25">
      <c r="A131">
        <f>regression!A131</f>
        <v>2009</v>
      </c>
      <c r="B131">
        <f>regression!B131</f>
        <v>221</v>
      </c>
      <c r="C131" t="str">
        <f>regression!C131</f>
        <v>Cap Ind</v>
      </c>
      <c r="D131" t="str">
        <f>regression!D131</f>
        <v>Sr. Sub.</v>
      </c>
      <c r="E131">
        <f>regression!E131</f>
        <v>0.99</v>
      </c>
      <c r="F131">
        <f>regression!F131</f>
        <v>0.89541245407618697</v>
      </c>
      <c r="G131">
        <f>regression!G131</f>
        <v>0.70330000000000004</v>
      </c>
      <c r="H131">
        <f>regression!H131</f>
        <v>3.0710000000000002</v>
      </c>
      <c r="I131">
        <f t="shared" ref="I131:I194" si="3">NORMSINV(BETADIST(E131,L$14,L$15))</f>
        <v>1.4954060676963419</v>
      </c>
    </row>
    <row r="132" spans="1:9" x14ac:dyDescent="0.25">
      <c r="A132">
        <f>regression!A132</f>
        <v>2009</v>
      </c>
      <c r="B132">
        <f>regression!B132</f>
        <v>222</v>
      </c>
      <c r="C132" t="str">
        <f>regression!C132</f>
        <v>Transp</v>
      </c>
      <c r="D132" t="str">
        <f>regression!D132</f>
        <v>Sr. Unsec.</v>
      </c>
      <c r="E132">
        <f>regression!E132</f>
        <v>0.7603440144610405</v>
      </c>
      <c r="F132">
        <f>regression!F132</f>
        <v>0.90671223734972717</v>
      </c>
      <c r="G132">
        <f>regression!G132</f>
        <v>0.53820000000000001</v>
      </c>
      <c r="H132">
        <f>regression!H132</f>
        <v>2.9630000000000001</v>
      </c>
      <c r="I132">
        <f t="shared" si="3"/>
        <v>0.11599324969929888</v>
      </c>
    </row>
    <row r="133" spans="1:9" x14ac:dyDescent="0.25">
      <c r="A133">
        <f>regression!A133</f>
        <v>2009</v>
      </c>
      <c r="B133">
        <f>regression!B133</f>
        <v>224</v>
      </c>
      <c r="C133" t="str">
        <f>regression!C133</f>
        <v>Cons G</v>
      </c>
      <c r="D133" t="str">
        <f>regression!D133</f>
        <v>Sr. Unsec.</v>
      </c>
      <c r="E133">
        <f>regression!E133</f>
        <v>0.67943664043664931</v>
      </c>
      <c r="F133">
        <f>regression!F133</f>
        <v>0.48749270151105384</v>
      </c>
      <c r="G133">
        <f>regression!G133</f>
        <v>0.53820000000000001</v>
      </c>
      <c r="H133">
        <f>regression!H133</f>
        <v>3.7829999999999999</v>
      </c>
      <c r="I133">
        <f t="shared" si="3"/>
        <v>-9.6521185765498049E-2</v>
      </c>
    </row>
    <row r="134" spans="1:9" x14ac:dyDescent="0.25">
      <c r="A134">
        <f>regression!A134</f>
        <v>2009</v>
      </c>
      <c r="B134">
        <f>regression!B134</f>
        <v>224</v>
      </c>
      <c r="C134" t="str">
        <f>regression!C134</f>
        <v>Cons G</v>
      </c>
      <c r="D134" t="str">
        <f>regression!D134</f>
        <v>Sr. Sub.</v>
      </c>
      <c r="E134">
        <f>regression!E134</f>
        <v>0.97317630173921588</v>
      </c>
      <c r="F134">
        <f>regression!F134</f>
        <v>0.48749270151105384</v>
      </c>
      <c r="G134">
        <f>regression!G134</f>
        <v>0.70330000000000004</v>
      </c>
      <c r="H134">
        <f>regression!H134</f>
        <v>3.7829999999999999</v>
      </c>
      <c r="I134">
        <f t="shared" si="3"/>
        <v>1.1638564802636722</v>
      </c>
    </row>
    <row r="135" spans="1:9" x14ac:dyDescent="0.25">
      <c r="A135">
        <f>regression!A135</f>
        <v>2009</v>
      </c>
      <c r="B135">
        <f>regression!B135</f>
        <v>225</v>
      </c>
      <c r="C135" t="str">
        <f>regression!C135</f>
        <v>Cons G</v>
      </c>
      <c r="D135" t="str">
        <f>regression!D135</f>
        <v>Sr. Sub.</v>
      </c>
      <c r="E135">
        <f>regression!E135</f>
        <v>0.71267708486318593</v>
      </c>
      <c r="F135">
        <f>regression!F135</f>
        <v>0.14624804611442507</v>
      </c>
      <c r="G135">
        <f>regression!G135</f>
        <v>0.70330000000000004</v>
      </c>
      <c r="H135">
        <f>regression!H135</f>
        <v>3.7829999999999999</v>
      </c>
      <c r="I135">
        <f t="shared" si="3"/>
        <v>-1.2514172136926079E-2</v>
      </c>
    </row>
    <row r="136" spans="1:9" x14ac:dyDescent="0.25">
      <c r="A136">
        <f>regression!A136</f>
        <v>2009</v>
      </c>
      <c r="B136">
        <f>regression!B136</f>
        <v>226</v>
      </c>
      <c r="C136" t="str">
        <f>regression!C136</f>
        <v>Media</v>
      </c>
      <c r="D136" t="str">
        <f>regression!D136</f>
        <v>Sub.</v>
      </c>
      <c r="E136">
        <f>regression!E136</f>
        <v>0.14318039369583135</v>
      </c>
      <c r="F136">
        <f>regression!F136</f>
        <v>0.65942848023806511</v>
      </c>
      <c r="G136">
        <f>regression!G136</f>
        <v>0.71150000000000002</v>
      </c>
      <c r="H136">
        <f>regression!H136</f>
        <v>4.1470000000000002</v>
      </c>
      <c r="I136">
        <f t="shared" si="3"/>
        <v>-1.4992531783411855</v>
      </c>
    </row>
    <row r="137" spans="1:9" x14ac:dyDescent="0.25">
      <c r="A137">
        <f>regression!A137</f>
        <v>2009</v>
      </c>
      <c r="B137">
        <f>regression!B137</f>
        <v>227</v>
      </c>
      <c r="C137" t="str">
        <f>regression!C137</f>
        <v>Media</v>
      </c>
      <c r="D137" t="str">
        <f>regression!D137</f>
        <v>Sr. Unsec.</v>
      </c>
      <c r="E137">
        <f>regression!E137</f>
        <v>0.63582589613199236</v>
      </c>
      <c r="F137">
        <f>regression!F137</f>
        <v>0.9084018999112119</v>
      </c>
      <c r="G137">
        <f>regression!G137</f>
        <v>0.53820000000000001</v>
      </c>
      <c r="H137">
        <f>regression!H137</f>
        <v>4.1470000000000002</v>
      </c>
      <c r="I137">
        <f t="shared" si="3"/>
        <v>-0.20193034083736805</v>
      </c>
    </row>
    <row r="138" spans="1:9" x14ac:dyDescent="0.25">
      <c r="A138">
        <f>regression!A138</f>
        <v>2009</v>
      </c>
      <c r="B138">
        <f>regression!B138</f>
        <v>228</v>
      </c>
      <c r="C138" t="str">
        <f>regression!C138</f>
        <v>Retail</v>
      </c>
      <c r="D138" t="str">
        <f>regression!D138</f>
        <v>Sr. Sub.</v>
      </c>
      <c r="E138">
        <f>regression!E138</f>
        <v>0.78704977840423584</v>
      </c>
      <c r="F138">
        <f>regression!F138</f>
        <v>0.85230540123261012</v>
      </c>
      <c r="G138">
        <f>regression!G138</f>
        <v>0.70330000000000004</v>
      </c>
      <c r="H138">
        <f>regression!H138</f>
        <v>2.2469999999999999</v>
      </c>
      <c r="I138">
        <f t="shared" si="3"/>
        <v>0.19370472411853043</v>
      </c>
    </row>
    <row r="139" spans="1:9" x14ac:dyDescent="0.25">
      <c r="A139">
        <f>regression!A139</f>
        <v>2009</v>
      </c>
      <c r="B139">
        <f>regression!B139</f>
        <v>229</v>
      </c>
      <c r="C139" t="str">
        <f>regression!C139</f>
        <v>Tech</v>
      </c>
      <c r="D139" t="str">
        <f>regression!D139</f>
        <v>Sr. Sec.</v>
      </c>
      <c r="E139">
        <f>regression!E139</f>
        <v>0.7765679498314858</v>
      </c>
      <c r="F139">
        <f>regression!F139</f>
        <v>0.91460344474019262</v>
      </c>
      <c r="G139">
        <f>regression!G139</f>
        <v>0.36450000000000005</v>
      </c>
      <c r="H139">
        <f>regression!H139</f>
        <v>1.1639999999999999</v>
      </c>
      <c r="I139">
        <f t="shared" si="3"/>
        <v>0.16261220185930839</v>
      </c>
    </row>
    <row r="140" spans="1:9" x14ac:dyDescent="0.25">
      <c r="A140">
        <f>regression!A140</f>
        <v>2009</v>
      </c>
      <c r="B140">
        <f>regression!B140</f>
        <v>229</v>
      </c>
      <c r="C140" t="str">
        <f>regression!C140</f>
        <v>Tech</v>
      </c>
      <c r="D140" t="str">
        <f>regression!D140</f>
        <v>Sr. Sub.</v>
      </c>
      <c r="E140">
        <f>regression!E140</f>
        <v>0.99</v>
      </c>
      <c r="F140">
        <f>regression!F140</f>
        <v>0.91460344474019262</v>
      </c>
      <c r="G140">
        <f>regression!G140</f>
        <v>0.70330000000000004</v>
      </c>
      <c r="H140">
        <f>regression!H140</f>
        <v>1.1639999999999999</v>
      </c>
      <c r="I140">
        <f t="shared" si="3"/>
        <v>1.4954060676963419</v>
      </c>
    </row>
    <row r="141" spans="1:9" x14ac:dyDescent="0.25">
      <c r="A141">
        <f>regression!A141</f>
        <v>2009</v>
      </c>
      <c r="B141">
        <f>regression!B141</f>
        <v>231</v>
      </c>
      <c r="C141" t="str">
        <f>regression!C141</f>
        <v>Retail</v>
      </c>
      <c r="D141" t="str">
        <f>regression!D141</f>
        <v>Sr. Unsec.</v>
      </c>
      <c r="E141">
        <f>regression!E141</f>
        <v>0.91575934574604034</v>
      </c>
      <c r="F141">
        <f>regression!F141</f>
        <v>0.71125897652776715</v>
      </c>
      <c r="G141">
        <f>regression!G141</f>
        <v>0.53820000000000001</v>
      </c>
      <c r="H141">
        <f>regression!H141</f>
        <v>2.2469999999999999</v>
      </c>
      <c r="I141">
        <f t="shared" si="3"/>
        <v>0.69558226473091134</v>
      </c>
    </row>
    <row r="142" spans="1:9" x14ac:dyDescent="0.25">
      <c r="A142">
        <f>regression!A142</f>
        <v>2009</v>
      </c>
      <c r="B142">
        <f>regression!B142</f>
        <v>233</v>
      </c>
      <c r="C142" t="str">
        <f>regression!C142</f>
        <v>Retail</v>
      </c>
      <c r="D142" t="str">
        <f>regression!D142</f>
        <v>Sr. Unsec.</v>
      </c>
      <c r="E142">
        <f>regression!E142</f>
        <v>0.86651436722278596</v>
      </c>
      <c r="F142">
        <f>regression!F142</f>
        <v>0.48226603827242837</v>
      </c>
      <c r="G142">
        <f>regression!G142</f>
        <v>0.53820000000000001</v>
      </c>
      <c r="H142">
        <f>regression!H142</f>
        <v>2.2469999999999999</v>
      </c>
      <c r="I142">
        <f t="shared" si="3"/>
        <v>0.46618761679898962</v>
      </c>
    </row>
    <row r="143" spans="1:9" x14ac:dyDescent="0.25">
      <c r="A143">
        <f>regression!A143</f>
        <v>2009</v>
      </c>
      <c r="B143">
        <f>regression!B143</f>
        <v>235</v>
      </c>
      <c r="C143" t="str">
        <f>regression!C143</f>
        <v>Transp</v>
      </c>
      <c r="D143" t="str">
        <f>regression!D143</f>
        <v>Sr. Unsec.</v>
      </c>
      <c r="E143">
        <f>regression!E143</f>
        <v>0.23971494150161743</v>
      </c>
      <c r="F143">
        <f>regression!F143</f>
        <v>0.75</v>
      </c>
      <c r="G143">
        <f>regression!G143</f>
        <v>0.53820000000000001</v>
      </c>
      <c r="H143">
        <f>regression!H143</f>
        <v>2.9630000000000001</v>
      </c>
      <c r="I143">
        <f t="shared" si="3"/>
        <v>-1.1619182934088899</v>
      </c>
    </row>
    <row r="144" spans="1:9" x14ac:dyDescent="0.25">
      <c r="A144">
        <f>regression!A144</f>
        <v>2009</v>
      </c>
      <c r="B144">
        <f>regression!B144</f>
        <v>237</v>
      </c>
      <c r="C144" t="str">
        <f>regression!C144</f>
        <v>Cons G</v>
      </c>
      <c r="D144" t="str">
        <f>regression!D144</f>
        <v>Sr. Unsec.</v>
      </c>
      <c r="E144">
        <f>regression!E144</f>
        <v>0.92369942393302917</v>
      </c>
      <c r="F144">
        <f>regression!F144</f>
        <v>0.54253303055644531</v>
      </c>
      <c r="G144">
        <f>regression!G144</f>
        <v>0.53820000000000001</v>
      </c>
      <c r="H144">
        <f>regression!H144</f>
        <v>3.7829999999999999</v>
      </c>
      <c r="I144">
        <f t="shared" si="3"/>
        <v>0.7411177916642272</v>
      </c>
    </row>
    <row r="145" spans="1:9" x14ac:dyDescent="0.25">
      <c r="A145">
        <f>regression!A145</f>
        <v>2009</v>
      </c>
      <c r="B145">
        <f>regression!B145</f>
        <v>237</v>
      </c>
      <c r="C145" t="str">
        <f>regression!C145</f>
        <v>Cons G</v>
      </c>
      <c r="D145" t="str">
        <f>regression!D145</f>
        <v>Sr. Sub.</v>
      </c>
      <c r="E145">
        <f>regression!E145</f>
        <v>0.85660303068161014</v>
      </c>
      <c r="F145">
        <f>regression!F145</f>
        <v>0.54253303055644531</v>
      </c>
      <c r="G145">
        <f>regression!G145</f>
        <v>0.70330000000000004</v>
      </c>
      <c r="H145">
        <f>regression!H145</f>
        <v>3.7829999999999999</v>
      </c>
      <c r="I145">
        <f t="shared" si="3"/>
        <v>0.42741491726980146</v>
      </c>
    </row>
    <row r="146" spans="1:9" x14ac:dyDescent="0.25">
      <c r="A146">
        <f>regression!A146</f>
        <v>2009</v>
      </c>
      <c r="B146">
        <f>regression!B146</f>
        <v>238</v>
      </c>
      <c r="C146" t="str">
        <f>regression!C146</f>
        <v>Cons G</v>
      </c>
      <c r="D146" t="str">
        <f>regression!D146</f>
        <v>Sr. Unsec.</v>
      </c>
      <c r="E146">
        <f>regression!E146</f>
        <v>0.64501694575607771</v>
      </c>
      <c r="F146">
        <f>regression!F146</f>
        <v>0.90061381188712963</v>
      </c>
      <c r="G146">
        <f>regression!G146</f>
        <v>0.53820000000000001</v>
      </c>
      <c r="H146">
        <f>regression!H146</f>
        <v>3.7829999999999999</v>
      </c>
      <c r="I146">
        <f t="shared" si="3"/>
        <v>-0.18007993790846569</v>
      </c>
    </row>
    <row r="147" spans="1:9" x14ac:dyDescent="0.25">
      <c r="A147">
        <f>regression!A147</f>
        <v>2009</v>
      </c>
      <c r="B147">
        <f>regression!B147</f>
        <v>238</v>
      </c>
      <c r="C147" t="str">
        <f>regression!C147</f>
        <v>Cons G</v>
      </c>
      <c r="D147" t="str">
        <f>regression!D147</f>
        <v>Sr. Sub.</v>
      </c>
      <c r="E147">
        <f>regression!E147</f>
        <v>0.85198099500536917</v>
      </c>
      <c r="F147">
        <f>regression!F147</f>
        <v>0.90061381188712963</v>
      </c>
      <c r="G147">
        <f>regression!G147</f>
        <v>0.70330000000000004</v>
      </c>
      <c r="H147">
        <f>regression!H147</f>
        <v>3.7829999999999999</v>
      </c>
      <c r="I147">
        <f t="shared" si="3"/>
        <v>0.4099321914764219</v>
      </c>
    </row>
    <row r="148" spans="1:9" x14ac:dyDescent="0.25">
      <c r="A148">
        <f>regression!A148</f>
        <v>2009</v>
      </c>
      <c r="B148">
        <f>regression!B148</f>
        <v>239</v>
      </c>
      <c r="C148" t="str">
        <f>regression!C148</f>
        <v>Media</v>
      </c>
      <c r="D148" t="str">
        <f>regression!D148</f>
        <v>Sr. Unsec.</v>
      </c>
      <c r="E148">
        <f>regression!E148</f>
        <v>0.85134155973196024</v>
      </c>
      <c r="F148">
        <f>regression!F148</f>
        <v>0.66589883362911173</v>
      </c>
      <c r="G148">
        <f>regression!G148</f>
        <v>0.53820000000000001</v>
      </c>
      <c r="H148">
        <f>regression!H148</f>
        <v>4.1470000000000002</v>
      </c>
      <c r="I148">
        <f t="shared" si="3"/>
        <v>0.40754150608475581</v>
      </c>
    </row>
    <row r="149" spans="1:9" x14ac:dyDescent="0.25">
      <c r="A149">
        <f>regression!A149</f>
        <v>2009</v>
      </c>
      <c r="B149">
        <f>regression!B149</f>
        <v>240</v>
      </c>
      <c r="C149" t="str">
        <f>regression!C149</f>
        <v>Media</v>
      </c>
      <c r="D149" t="str">
        <f>regression!D149</f>
        <v>Sr. Unsec.</v>
      </c>
      <c r="E149">
        <f>regression!E149</f>
        <v>0.51029405100047587</v>
      </c>
      <c r="F149">
        <f>regression!F149</f>
        <v>0.65847385618987841</v>
      </c>
      <c r="G149">
        <f>regression!G149</f>
        <v>0.53820000000000001</v>
      </c>
      <c r="H149">
        <f>regression!H149</f>
        <v>4.1470000000000002</v>
      </c>
      <c r="I149">
        <f t="shared" si="3"/>
        <v>-0.4898823193980637</v>
      </c>
    </row>
    <row r="150" spans="1:9" x14ac:dyDescent="0.25">
      <c r="A150">
        <f>regression!A150</f>
        <v>2009</v>
      </c>
      <c r="B150">
        <f>regression!B150</f>
        <v>242</v>
      </c>
      <c r="C150" t="str">
        <f>regression!C150</f>
        <v>Tech</v>
      </c>
      <c r="D150" t="str">
        <f>regression!D150</f>
        <v>Sr. Unsec.</v>
      </c>
      <c r="E150">
        <f>regression!E150</f>
        <v>8.862982541322717E-2</v>
      </c>
      <c r="F150">
        <f>regression!F150</f>
        <v>0.73895423074298539</v>
      </c>
      <c r="G150">
        <f>regression!G150</f>
        <v>0.53820000000000001</v>
      </c>
      <c r="H150">
        <f>regression!H150</f>
        <v>1.1639999999999999</v>
      </c>
      <c r="I150">
        <f t="shared" si="3"/>
        <v>-1.7692158678941543</v>
      </c>
    </row>
    <row r="151" spans="1:9" x14ac:dyDescent="0.25">
      <c r="A151">
        <f>regression!A151</f>
        <v>2009</v>
      </c>
      <c r="B151">
        <f>regression!B151</f>
        <v>246</v>
      </c>
      <c r="C151" t="str">
        <f>regression!C151</f>
        <v>Retail</v>
      </c>
      <c r="D151" t="str">
        <f>regression!D151</f>
        <v>Sr. Unsec.</v>
      </c>
      <c r="E151">
        <f>regression!E151</f>
        <v>0.49263186832070349</v>
      </c>
      <c r="F151">
        <f>regression!F151</f>
        <v>0.25038502386258227</v>
      </c>
      <c r="G151">
        <f>regression!G151</f>
        <v>0.53820000000000001</v>
      </c>
      <c r="H151">
        <f>regression!H151</f>
        <v>2.2469999999999999</v>
      </c>
      <c r="I151">
        <f t="shared" si="3"/>
        <v>-0.52985129109094842</v>
      </c>
    </row>
    <row r="152" spans="1:9" x14ac:dyDescent="0.25">
      <c r="A152">
        <f>regression!A152</f>
        <v>2009</v>
      </c>
      <c r="B152">
        <f>regression!B152</f>
        <v>247</v>
      </c>
      <c r="C152" t="str">
        <f>regression!C152</f>
        <v>Tech</v>
      </c>
      <c r="D152" t="str">
        <f>regression!D152</f>
        <v>Sr. Unsec.</v>
      </c>
      <c r="E152">
        <f>regression!E152</f>
        <v>0.35819228177070617</v>
      </c>
      <c r="F152">
        <f>regression!F152</f>
        <v>0.44450365524890256</v>
      </c>
      <c r="G152">
        <f>regression!G152</f>
        <v>0.53820000000000001</v>
      </c>
      <c r="H152">
        <f>regression!H152</f>
        <v>1.1639999999999999</v>
      </c>
      <c r="I152">
        <f t="shared" si="3"/>
        <v>-0.84383435725077427</v>
      </c>
    </row>
    <row r="153" spans="1:9" x14ac:dyDescent="0.25">
      <c r="A153">
        <f>regression!A153</f>
        <v>2009</v>
      </c>
      <c r="B153">
        <f>regression!B153</f>
        <v>249</v>
      </c>
      <c r="C153" t="str">
        <f>regression!C153</f>
        <v>Retail</v>
      </c>
      <c r="D153" t="str">
        <f>regression!D153</f>
        <v>Sr. Sub.</v>
      </c>
      <c r="E153">
        <f>regression!E153</f>
        <v>0.97717274736881254</v>
      </c>
      <c r="F153">
        <f>regression!F153</f>
        <v>0.673614494924342</v>
      </c>
      <c r="G153">
        <f>regression!G153</f>
        <v>0.70330000000000004</v>
      </c>
      <c r="H153">
        <f>regression!H153</f>
        <v>2.2469999999999999</v>
      </c>
      <c r="I153">
        <f t="shared" si="3"/>
        <v>1.2216993938198331</v>
      </c>
    </row>
    <row r="154" spans="1:9" x14ac:dyDescent="0.25">
      <c r="A154">
        <f>regression!A154</f>
        <v>2009</v>
      </c>
      <c r="B154">
        <f>regression!B154</f>
        <v>250</v>
      </c>
      <c r="C154" t="str">
        <f>regression!C154</f>
        <v>Cons G</v>
      </c>
      <c r="D154" t="str">
        <f>regression!D154</f>
        <v>Sr. Unsec.</v>
      </c>
      <c r="E154">
        <f>regression!E154</f>
        <v>0.32371388404965407</v>
      </c>
      <c r="F154">
        <f>regression!F154</f>
        <v>0.43904864695045831</v>
      </c>
      <c r="G154">
        <f>regression!G154</f>
        <v>0.53820000000000001</v>
      </c>
      <c r="H154">
        <f>regression!H154</f>
        <v>3.7829999999999999</v>
      </c>
      <c r="I154">
        <f t="shared" si="3"/>
        <v>-0.93031627031247055</v>
      </c>
    </row>
    <row r="155" spans="1:9" x14ac:dyDescent="0.25">
      <c r="A155">
        <f>regression!A155</f>
        <v>2009</v>
      </c>
      <c r="B155">
        <f>regression!B155</f>
        <v>251</v>
      </c>
      <c r="C155" t="str">
        <f>regression!C155</f>
        <v>Cons G</v>
      </c>
      <c r="D155" t="str">
        <f>regression!D155</f>
        <v>Sr. Unsec.</v>
      </c>
      <c r="E155">
        <f>regression!E155</f>
        <v>0.66207795114219192</v>
      </c>
      <c r="F155">
        <f>regression!F155</f>
        <v>0.35942784034876663</v>
      </c>
      <c r="G155">
        <f>regression!G155</f>
        <v>0.53820000000000001</v>
      </c>
      <c r="H155">
        <f>regression!H155</f>
        <v>3.7829999999999999</v>
      </c>
      <c r="I155">
        <f t="shared" si="3"/>
        <v>-0.13903291576170321</v>
      </c>
    </row>
    <row r="156" spans="1:9" x14ac:dyDescent="0.25">
      <c r="A156">
        <f>regression!A156</f>
        <v>2009</v>
      </c>
      <c r="B156">
        <f>regression!B156</f>
        <v>252</v>
      </c>
      <c r="C156" t="str">
        <f>regression!C156</f>
        <v>Media</v>
      </c>
      <c r="D156" t="str">
        <f>regression!D156</f>
        <v>Sr. Unsec.</v>
      </c>
      <c r="E156">
        <f>regression!E156</f>
        <v>0.95300739255666733</v>
      </c>
      <c r="F156">
        <f>regression!F156</f>
        <v>0.24697151025476613</v>
      </c>
      <c r="G156">
        <f>regression!G156</f>
        <v>0.53820000000000001</v>
      </c>
      <c r="H156">
        <f>regression!H156</f>
        <v>4.1470000000000002</v>
      </c>
      <c r="I156">
        <f t="shared" si="3"/>
        <v>0.94882327228580854</v>
      </c>
    </row>
    <row r="157" spans="1:9" x14ac:dyDescent="0.25">
      <c r="A157">
        <f>regression!A157</f>
        <v>2009</v>
      </c>
      <c r="B157">
        <f>regression!B157</f>
        <v>254</v>
      </c>
      <c r="C157" t="str">
        <f>regression!C157</f>
        <v>Retail</v>
      </c>
      <c r="D157" t="str">
        <f>regression!D157</f>
        <v>Sub.</v>
      </c>
      <c r="E157">
        <f>regression!E157</f>
        <v>0.19007125760018828</v>
      </c>
      <c r="F157">
        <f>regression!F157</f>
        <v>0.21715760377228188</v>
      </c>
      <c r="G157">
        <f>regression!G157</f>
        <v>0.71150000000000002</v>
      </c>
      <c r="H157">
        <f>regression!H157</f>
        <v>2.2469999999999999</v>
      </c>
      <c r="I157">
        <f t="shared" si="3"/>
        <v>-1.3213943681178615</v>
      </c>
    </row>
    <row r="158" spans="1:9" x14ac:dyDescent="0.25">
      <c r="A158">
        <f>regression!A158</f>
        <v>2009</v>
      </c>
      <c r="B158">
        <f>regression!B158</f>
        <v>255</v>
      </c>
      <c r="C158" t="str">
        <f>regression!C158</f>
        <v>Tech</v>
      </c>
      <c r="D158" t="str">
        <f>regression!D158</f>
        <v>Sr. Sub.</v>
      </c>
      <c r="E158">
        <f>regression!E158</f>
        <v>0.36671762282848364</v>
      </c>
      <c r="F158">
        <f>regression!F158</f>
        <v>0.40926759385623701</v>
      </c>
      <c r="G158">
        <f>regression!G158</f>
        <v>0.70330000000000004</v>
      </c>
      <c r="H158">
        <f>regression!H158</f>
        <v>1.1639999999999999</v>
      </c>
      <c r="I158">
        <f t="shared" si="3"/>
        <v>-0.82298229912807663</v>
      </c>
    </row>
    <row r="159" spans="1:9" x14ac:dyDescent="0.25">
      <c r="A159">
        <f>regression!A159</f>
        <v>2009</v>
      </c>
      <c r="B159">
        <f>regression!B159</f>
        <v>256</v>
      </c>
      <c r="C159" t="str">
        <f>regression!C159</f>
        <v>Transp</v>
      </c>
      <c r="D159" t="str">
        <f>regression!D159</f>
        <v>Sr. Unsec.</v>
      </c>
      <c r="E159">
        <f>regression!E159</f>
        <v>0.94242872112989429</v>
      </c>
      <c r="F159">
        <f>regression!F159</f>
        <v>0.2678318466214501</v>
      </c>
      <c r="G159">
        <f>regression!G159</f>
        <v>0.53820000000000001</v>
      </c>
      <c r="H159">
        <f>regression!H159</f>
        <v>2.9630000000000001</v>
      </c>
      <c r="I159">
        <f t="shared" si="3"/>
        <v>0.86465377474957894</v>
      </c>
    </row>
    <row r="160" spans="1:9" x14ac:dyDescent="0.25">
      <c r="A160">
        <f>regression!A160</f>
        <v>2009</v>
      </c>
      <c r="B160">
        <f>regression!B160</f>
        <v>257</v>
      </c>
      <c r="C160" t="str">
        <f>regression!C160</f>
        <v>Retail</v>
      </c>
      <c r="D160" t="str">
        <f>regression!D160</f>
        <v>Sr. Unsec.</v>
      </c>
      <c r="E160">
        <f>regression!E160</f>
        <v>0.95046839225769042</v>
      </c>
      <c r="F160">
        <f>regression!F160</f>
        <v>0.4172269043748118</v>
      </c>
      <c r="G160">
        <f>regression!G160</f>
        <v>0.53820000000000001</v>
      </c>
      <c r="H160">
        <f>regression!H160</f>
        <v>2.2469999999999999</v>
      </c>
      <c r="I160">
        <f t="shared" si="3"/>
        <v>0.92736810803498448</v>
      </c>
    </row>
    <row r="161" spans="1:9" x14ac:dyDescent="0.25">
      <c r="A161">
        <f>regression!A161</f>
        <v>2009</v>
      </c>
      <c r="B161">
        <f>regression!B161</f>
        <v>258</v>
      </c>
      <c r="C161" t="str">
        <f>regression!C161</f>
        <v>Media</v>
      </c>
      <c r="D161" t="str">
        <f>regression!D161</f>
        <v>Sr. Sub.</v>
      </c>
      <c r="E161">
        <f>regression!E161</f>
        <v>0.76547121615111835</v>
      </c>
      <c r="F161">
        <f>regression!F161</f>
        <v>0.59756763570141114</v>
      </c>
      <c r="G161">
        <f>regression!G161</f>
        <v>0.70330000000000004</v>
      </c>
      <c r="H161">
        <f>regression!H161</f>
        <v>4.1470000000000002</v>
      </c>
      <c r="I161">
        <f t="shared" si="3"/>
        <v>0.13054154405955357</v>
      </c>
    </row>
    <row r="162" spans="1:9" x14ac:dyDescent="0.25">
      <c r="A162">
        <f>regression!A162</f>
        <v>2009</v>
      </c>
      <c r="B162">
        <f>regression!B162</f>
        <v>259</v>
      </c>
      <c r="C162" t="str">
        <f>regression!C162</f>
        <v>Retail</v>
      </c>
      <c r="D162" t="str">
        <f>regression!D162</f>
        <v>Sr. Sec.</v>
      </c>
      <c r="E162">
        <f>regression!E162</f>
        <v>0.7960560518431663</v>
      </c>
      <c r="F162">
        <f>regression!F162</f>
        <v>0.70146026990053167</v>
      </c>
      <c r="G162">
        <f>regression!G162</f>
        <v>0.36450000000000005</v>
      </c>
      <c r="H162">
        <f>regression!H162</f>
        <v>2.2469999999999999</v>
      </c>
      <c r="I162">
        <f t="shared" si="3"/>
        <v>0.22110510445692622</v>
      </c>
    </row>
    <row r="163" spans="1:9" x14ac:dyDescent="0.25">
      <c r="A163">
        <f>regression!A163</f>
        <v>2009</v>
      </c>
      <c r="B163">
        <f>regression!B163</f>
        <v>261</v>
      </c>
      <c r="C163" t="str">
        <f>regression!C163</f>
        <v>Transp</v>
      </c>
      <c r="D163" t="str">
        <f>regression!D163</f>
        <v>Sr. Sub.</v>
      </c>
      <c r="E163">
        <f>regression!E163</f>
        <v>0.95242508366703982</v>
      </c>
      <c r="F163">
        <f>regression!F163</f>
        <v>0.98756027950686076</v>
      </c>
      <c r="G163">
        <f>regression!G163</f>
        <v>0.70330000000000004</v>
      </c>
      <c r="H163">
        <f>regression!H163</f>
        <v>2.9630000000000001</v>
      </c>
      <c r="I163">
        <f t="shared" si="3"/>
        <v>0.94382361058614961</v>
      </c>
    </row>
    <row r="164" spans="1:9" x14ac:dyDescent="0.25">
      <c r="A164">
        <f>regression!A164</f>
        <v>2009</v>
      </c>
      <c r="B164">
        <f>regression!B164</f>
        <v>262</v>
      </c>
      <c r="C164" t="str">
        <f>regression!C164</f>
        <v>Retail</v>
      </c>
      <c r="D164" t="str">
        <f>regression!D164</f>
        <v>Sr. Sec.</v>
      </c>
      <c r="E164">
        <f>regression!E164</f>
        <v>0.26890961222171783</v>
      </c>
      <c r="F164">
        <f>regression!F164</f>
        <v>0.29899922052295735</v>
      </c>
      <c r="G164">
        <f>regression!G164</f>
        <v>0.36450000000000005</v>
      </c>
      <c r="H164">
        <f>regression!H164</f>
        <v>2.2469999999999999</v>
      </c>
      <c r="I164">
        <f t="shared" si="3"/>
        <v>-1.0771699609381169</v>
      </c>
    </row>
    <row r="165" spans="1:9" x14ac:dyDescent="0.25">
      <c r="A165">
        <f>regression!A165</f>
        <v>2009</v>
      </c>
      <c r="B165">
        <f>regression!B165</f>
        <v>263</v>
      </c>
      <c r="C165" t="str">
        <f>regression!C165</f>
        <v>Cons G</v>
      </c>
      <c r="D165" t="str">
        <f>regression!D165</f>
        <v>Sr. Unsec.</v>
      </c>
      <c r="E165">
        <f>regression!E165</f>
        <v>0.71268552166223531</v>
      </c>
      <c r="F165">
        <f>regression!F165</f>
        <v>0.59068313439824016</v>
      </c>
      <c r="G165">
        <f>regression!G165</f>
        <v>0.53820000000000001</v>
      </c>
      <c r="H165">
        <f>regression!H165</f>
        <v>3.7829999999999999</v>
      </c>
      <c r="I165">
        <f t="shared" si="3"/>
        <v>-1.2492346668616428E-2</v>
      </c>
    </row>
    <row r="166" spans="1:9" x14ac:dyDescent="0.25">
      <c r="A166">
        <f>regression!A166</f>
        <v>2009</v>
      </c>
      <c r="B166">
        <f>regression!B166</f>
        <v>264</v>
      </c>
      <c r="C166" t="str">
        <f>regression!C166</f>
        <v>Cons G</v>
      </c>
      <c r="D166" t="str">
        <f>regression!D166</f>
        <v>Sr. Unsec.</v>
      </c>
      <c r="E166">
        <f>regression!E166</f>
        <v>0.95202806037664411</v>
      </c>
      <c r="F166">
        <f>regression!F166</f>
        <v>0.80162848822914079</v>
      </c>
      <c r="G166">
        <f>regression!G166</f>
        <v>0.53820000000000001</v>
      </c>
      <c r="H166">
        <f>regression!H166</f>
        <v>3.7829999999999999</v>
      </c>
      <c r="I166">
        <f t="shared" si="3"/>
        <v>0.94044231009023771</v>
      </c>
    </row>
    <row r="167" spans="1:9" x14ac:dyDescent="0.25">
      <c r="A167">
        <f>regression!A167</f>
        <v>2009</v>
      </c>
      <c r="B167">
        <f>regression!B167</f>
        <v>265</v>
      </c>
      <c r="C167" t="str">
        <f>regression!C167</f>
        <v>Media</v>
      </c>
      <c r="D167" t="str">
        <f>regression!D167</f>
        <v>Sr. Sec.</v>
      </c>
      <c r="E167">
        <f>regression!E167</f>
        <v>0.70312559947967523</v>
      </c>
      <c r="F167">
        <f>regression!F167</f>
        <v>0.73723254419325734</v>
      </c>
      <c r="G167">
        <f>regression!G167</f>
        <v>0.36450000000000005</v>
      </c>
      <c r="H167">
        <f>regression!H167</f>
        <v>4.1470000000000002</v>
      </c>
      <c r="I167">
        <f t="shared" si="3"/>
        <v>-3.7047828670183795E-2</v>
      </c>
    </row>
    <row r="168" spans="1:9" x14ac:dyDescent="0.25">
      <c r="A168">
        <f>regression!A168</f>
        <v>2009</v>
      </c>
      <c r="B168">
        <f>regression!B168</f>
        <v>265</v>
      </c>
      <c r="C168" t="str">
        <f>regression!C168</f>
        <v>Media</v>
      </c>
      <c r="D168" t="str">
        <f>regression!D168</f>
        <v>Sr. Unsec.</v>
      </c>
      <c r="E168">
        <f>regression!E168</f>
        <v>0.77991677657961844</v>
      </c>
      <c r="F168">
        <f>regression!F168</f>
        <v>0.73723254419325734</v>
      </c>
      <c r="G168">
        <f>regression!G168</f>
        <v>0.53820000000000001</v>
      </c>
      <c r="H168">
        <f>regression!H168</f>
        <v>4.1470000000000002</v>
      </c>
      <c r="I168">
        <f t="shared" si="3"/>
        <v>0.17245757524102706</v>
      </c>
    </row>
    <row r="169" spans="1:9" x14ac:dyDescent="0.25">
      <c r="A169">
        <f>regression!A169</f>
        <v>2009</v>
      </c>
      <c r="B169">
        <f>regression!B169</f>
        <v>268</v>
      </c>
      <c r="C169" t="str">
        <f>regression!C169</f>
        <v>Transp</v>
      </c>
      <c r="D169" t="str">
        <f>regression!D169</f>
        <v>Sr. Unsec.</v>
      </c>
      <c r="E169">
        <f>regression!E169</f>
        <v>0.86799467037558553</v>
      </c>
      <c r="F169">
        <f>regression!F169</f>
        <v>0.20755952822252047</v>
      </c>
      <c r="G169">
        <f>regression!G169</f>
        <v>0.53820000000000001</v>
      </c>
      <c r="H169">
        <f>regression!H169</f>
        <v>2.9630000000000001</v>
      </c>
      <c r="I169">
        <f t="shared" si="3"/>
        <v>0.47214031646448218</v>
      </c>
    </row>
    <row r="170" spans="1:9" x14ac:dyDescent="0.25">
      <c r="A170">
        <f>regression!A170</f>
        <v>2009</v>
      </c>
      <c r="B170">
        <f>regression!B170</f>
        <v>269</v>
      </c>
      <c r="C170" t="str">
        <f>regression!C170</f>
        <v>Retail</v>
      </c>
      <c r="D170" t="str">
        <f>regression!D170</f>
        <v>Sr. Unsec.</v>
      </c>
      <c r="E170">
        <f>regression!E170</f>
        <v>0.8421996424257755</v>
      </c>
      <c r="F170">
        <f>regression!F170</f>
        <v>0.26449665013351131</v>
      </c>
      <c r="G170">
        <f>regression!G170</f>
        <v>0.53820000000000001</v>
      </c>
      <c r="H170">
        <f>regression!H170</f>
        <v>2.2469999999999999</v>
      </c>
      <c r="I170">
        <f t="shared" si="3"/>
        <v>0.37406027723356777</v>
      </c>
    </row>
    <row r="171" spans="1:9" x14ac:dyDescent="0.25">
      <c r="A171">
        <f>regression!A171</f>
        <v>2009</v>
      </c>
      <c r="B171">
        <f>regression!B171</f>
        <v>270</v>
      </c>
      <c r="C171" t="str">
        <f>regression!C171</f>
        <v>Media</v>
      </c>
      <c r="D171" t="str">
        <f>regression!D171</f>
        <v>Sr. Sec.</v>
      </c>
      <c r="E171">
        <f>regression!E171</f>
        <v>3.6812083983421395E-2</v>
      </c>
      <c r="F171">
        <f>regression!F171</f>
        <v>0.38179100618990275</v>
      </c>
      <c r="G171">
        <f>regression!G171</f>
        <v>0.36450000000000005</v>
      </c>
      <c r="H171">
        <f>regression!H171</f>
        <v>4.1470000000000002</v>
      </c>
      <c r="I171">
        <f t="shared" si="3"/>
        <v>-2.1950775214927249</v>
      </c>
    </row>
    <row r="172" spans="1:9" x14ac:dyDescent="0.25">
      <c r="A172">
        <f>regression!A172</f>
        <v>2009</v>
      </c>
      <c r="B172">
        <f>regression!B172</f>
        <v>270</v>
      </c>
      <c r="C172" t="str">
        <f>regression!C172</f>
        <v>Media</v>
      </c>
      <c r="D172" t="str">
        <f>regression!D172</f>
        <v>Sr. Sub.</v>
      </c>
      <c r="E172">
        <f>regression!E172</f>
        <v>0.3598488928496838</v>
      </c>
      <c r="F172">
        <f>regression!F172</f>
        <v>0.38179100618990275</v>
      </c>
      <c r="G172">
        <f>regression!G172</f>
        <v>0.70330000000000004</v>
      </c>
      <c r="H172">
        <f>regression!H172</f>
        <v>4.1470000000000002</v>
      </c>
      <c r="I172">
        <f t="shared" si="3"/>
        <v>-0.83976761337479111</v>
      </c>
    </row>
    <row r="173" spans="1:9" x14ac:dyDescent="0.25">
      <c r="A173">
        <f>regression!A173</f>
        <v>2009</v>
      </c>
      <c r="B173">
        <f>regression!B173</f>
        <v>271</v>
      </c>
      <c r="C173" t="str">
        <f>regression!C173</f>
        <v>Cap Ind</v>
      </c>
      <c r="D173" t="str">
        <f>regression!D173</f>
        <v>Sr. Unsec.</v>
      </c>
      <c r="E173">
        <f>regression!E173</f>
        <v>0.8537117346781492</v>
      </c>
      <c r="F173">
        <f>regression!F173</f>
        <v>0.34853039017747545</v>
      </c>
      <c r="G173">
        <f>regression!G173</f>
        <v>0.53820000000000001</v>
      </c>
      <c r="H173">
        <f>regression!H173</f>
        <v>3.0710000000000002</v>
      </c>
      <c r="I173">
        <f t="shared" si="3"/>
        <v>0.41643664033473721</v>
      </c>
    </row>
    <row r="174" spans="1:9" x14ac:dyDescent="0.25">
      <c r="A174">
        <f>regression!A174</f>
        <v>2009</v>
      </c>
      <c r="B174">
        <f>regression!B174</f>
        <v>272</v>
      </c>
      <c r="C174" t="str">
        <f>regression!C174</f>
        <v>Tech</v>
      </c>
      <c r="D174" t="str">
        <f>regression!D174</f>
        <v>Sr. Unsec.</v>
      </c>
      <c r="E174">
        <f>regression!E174</f>
        <v>0.75894079088091848</v>
      </c>
      <c r="F174">
        <f>regression!F174</f>
        <v>0.77722243634209653</v>
      </c>
      <c r="G174">
        <f>regression!G174</f>
        <v>0.53820000000000001</v>
      </c>
      <c r="H174">
        <f>regression!H174</f>
        <v>1.1639999999999999</v>
      </c>
      <c r="I174">
        <f t="shared" si="3"/>
        <v>0.11203975966040522</v>
      </c>
    </row>
    <row r="175" spans="1:9" x14ac:dyDescent="0.25">
      <c r="A175">
        <f>regression!A175</f>
        <v>2009</v>
      </c>
      <c r="B175">
        <f>regression!B175</f>
        <v>274</v>
      </c>
      <c r="C175" t="str">
        <f>regression!C175</f>
        <v>Retail</v>
      </c>
      <c r="D175" t="str">
        <f>regression!D175</f>
        <v>Sr. Sub.</v>
      </c>
      <c r="E175">
        <f>regression!E175</f>
        <v>0.63494362397372717</v>
      </c>
      <c r="F175">
        <f>regression!F175</f>
        <v>0.28609619222429172</v>
      </c>
      <c r="G175">
        <f>regression!G175</f>
        <v>0.70330000000000004</v>
      </c>
      <c r="H175">
        <f>regression!H175</f>
        <v>2.2469999999999999</v>
      </c>
      <c r="I175">
        <f t="shared" si="3"/>
        <v>-0.20401900909496487</v>
      </c>
    </row>
    <row r="176" spans="1:9" x14ac:dyDescent="0.25">
      <c r="A176">
        <f>regression!A176</f>
        <v>2009</v>
      </c>
      <c r="B176">
        <f>regression!B176</f>
        <v>276</v>
      </c>
      <c r="C176" t="str">
        <f>regression!C176</f>
        <v>Cons G</v>
      </c>
      <c r="D176" t="str">
        <f>regression!D176</f>
        <v>Sr. Sub.</v>
      </c>
      <c r="E176">
        <f>regression!E176</f>
        <v>0.99</v>
      </c>
      <c r="F176">
        <f>regression!F176</f>
        <v>0.56158195382652365</v>
      </c>
      <c r="G176">
        <f>regression!G176</f>
        <v>0.70330000000000004</v>
      </c>
      <c r="H176">
        <f>regression!H176</f>
        <v>3.7829999999999999</v>
      </c>
      <c r="I176">
        <f t="shared" si="3"/>
        <v>1.4954060676963419</v>
      </c>
    </row>
    <row r="177" spans="1:9" x14ac:dyDescent="0.25">
      <c r="A177">
        <f>regression!A177</f>
        <v>2009</v>
      </c>
      <c r="B177">
        <f>regression!B177</f>
        <v>278</v>
      </c>
      <c r="C177" t="str">
        <f>regression!C177</f>
        <v>Media</v>
      </c>
      <c r="D177" t="str">
        <f>regression!D177</f>
        <v>Sr. Unsec.</v>
      </c>
      <c r="E177">
        <f>regression!E177</f>
        <v>0.39764406023621568</v>
      </c>
      <c r="F177">
        <f>regression!F177</f>
        <v>0.57448477540757747</v>
      </c>
      <c r="G177">
        <f>regression!G177</f>
        <v>0.53820000000000001</v>
      </c>
      <c r="H177">
        <f>regression!H177</f>
        <v>4.1470000000000002</v>
      </c>
      <c r="I177">
        <f t="shared" si="3"/>
        <v>-0.74876628298831194</v>
      </c>
    </row>
    <row r="178" spans="1:9" x14ac:dyDescent="0.25">
      <c r="A178">
        <f>regression!A178</f>
        <v>2009</v>
      </c>
      <c r="B178">
        <f>regression!B178</f>
        <v>280</v>
      </c>
      <c r="C178" t="str">
        <f>regression!C178</f>
        <v>Tech</v>
      </c>
      <c r="D178" t="str">
        <f>regression!D178</f>
        <v>Sr. Unsec.</v>
      </c>
      <c r="E178">
        <f>regression!E178</f>
        <v>0.44687385060191165</v>
      </c>
      <c r="F178">
        <f>regression!F178</f>
        <v>0.4209525319634887</v>
      </c>
      <c r="G178">
        <f>regression!G178</f>
        <v>0.53820000000000001</v>
      </c>
      <c r="H178">
        <f>regression!H178</f>
        <v>1.1639999999999999</v>
      </c>
      <c r="I178">
        <f t="shared" si="3"/>
        <v>-0.63411347432043152</v>
      </c>
    </row>
    <row r="179" spans="1:9" x14ac:dyDescent="0.25">
      <c r="A179">
        <f>regression!A179</f>
        <v>2009</v>
      </c>
      <c r="B179">
        <f>regression!B179</f>
        <v>281</v>
      </c>
      <c r="C179" t="str">
        <f>regression!C179</f>
        <v>Transp</v>
      </c>
      <c r="D179" t="str">
        <f>regression!D179</f>
        <v>Sr. Unsec.</v>
      </c>
      <c r="E179">
        <f>regression!E179</f>
        <v>0.63421568502485748</v>
      </c>
      <c r="F179">
        <f>regression!F179</f>
        <v>0.72110379815238079</v>
      </c>
      <c r="G179">
        <f>regression!G179</f>
        <v>0.53820000000000001</v>
      </c>
      <c r="H179">
        <f>regression!H179</f>
        <v>2.9630000000000001</v>
      </c>
      <c r="I179">
        <f t="shared" si="3"/>
        <v>-0.20574119443531871</v>
      </c>
    </row>
    <row r="180" spans="1:9" x14ac:dyDescent="0.25">
      <c r="A180">
        <f>regression!A180</f>
        <v>2009</v>
      </c>
      <c r="B180">
        <f>regression!B180</f>
        <v>282</v>
      </c>
      <c r="C180" t="str">
        <f>regression!C180</f>
        <v>Retail</v>
      </c>
      <c r="D180" t="str">
        <f>regression!D180</f>
        <v>Sr. Unsec.</v>
      </c>
      <c r="E180">
        <f>regression!E180</f>
        <v>0.52271793007850653</v>
      </c>
      <c r="F180">
        <f>regression!F180</f>
        <v>0.50755831472175283</v>
      </c>
      <c r="G180">
        <f>regression!G180</f>
        <v>0.53820000000000001</v>
      </c>
      <c r="H180">
        <f>regression!H180</f>
        <v>2.2469999999999999</v>
      </c>
      <c r="I180">
        <f t="shared" si="3"/>
        <v>-0.46179116776002521</v>
      </c>
    </row>
    <row r="181" spans="1:9" x14ac:dyDescent="0.25">
      <c r="A181">
        <f>regression!A181</f>
        <v>2009</v>
      </c>
      <c r="B181">
        <f>regression!B181</f>
        <v>284</v>
      </c>
      <c r="C181" t="str">
        <f>regression!C181</f>
        <v>Retail</v>
      </c>
      <c r="D181" t="str">
        <f>regression!D181</f>
        <v>Sr. Sub.</v>
      </c>
      <c r="E181">
        <f>regression!E181</f>
        <v>0.95689962032735343</v>
      </c>
      <c r="F181">
        <f>regression!F181</f>
        <v>0.76809214619752908</v>
      </c>
      <c r="G181">
        <f>regression!G181</f>
        <v>0.70330000000000004</v>
      </c>
      <c r="H181">
        <f>regression!H181</f>
        <v>2.2469999999999999</v>
      </c>
      <c r="I181">
        <f t="shared" si="3"/>
        <v>0.98355903717494786</v>
      </c>
    </row>
    <row r="182" spans="1:9" x14ac:dyDescent="0.25">
      <c r="A182">
        <f>regression!A182</f>
        <v>2009</v>
      </c>
      <c r="B182">
        <f>regression!B182</f>
        <v>285</v>
      </c>
      <c r="C182" t="str">
        <f>regression!C182</f>
        <v>Tech</v>
      </c>
      <c r="D182" t="str">
        <f>regression!D182</f>
        <v>Sr. Unsec.</v>
      </c>
      <c r="E182">
        <f>regression!E182</f>
        <v>0.6690551691508293</v>
      </c>
      <c r="F182">
        <f>regression!F182</f>
        <v>0.20230739435107328</v>
      </c>
      <c r="G182">
        <f>regression!G182</f>
        <v>0.53820000000000001</v>
      </c>
      <c r="H182">
        <f>regression!H182</f>
        <v>1.1639999999999999</v>
      </c>
      <c r="I182">
        <f t="shared" si="3"/>
        <v>-0.12204330318880459</v>
      </c>
    </row>
    <row r="183" spans="1:9" x14ac:dyDescent="0.25">
      <c r="A183">
        <f>regression!A183</f>
        <v>2009</v>
      </c>
      <c r="B183">
        <f>regression!B183</f>
        <v>285</v>
      </c>
      <c r="C183" t="str">
        <f>regression!C183</f>
        <v>Tech</v>
      </c>
      <c r="D183" t="str">
        <f>regression!D183</f>
        <v>Sr. Sub.</v>
      </c>
      <c r="E183">
        <f>regression!E183</f>
        <v>0.75606718490719793</v>
      </c>
      <c r="F183">
        <f>regression!F183</f>
        <v>0.20230739435107328</v>
      </c>
      <c r="G183">
        <f>regression!G183</f>
        <v>0.70330000000000004</v>
      </c>
      <c r="H183">
        <f>regression!H183</f>
        <v>1.1639999999999999</v>
      </c>
      <c r="I183">
        <f t="shared" si="3"/>
        <v>0.1039801922708862</v>
      </c>
    </row>
    <row r="184" spans="1:9" x14ac:dyDescent="0.25">
      <c r="A184">
        <f>regression!A184</f>
        <v>2009</v>
      </c>
      <c r="B184">
        <f>regression!B184</f>
        <v>286</v>
      </c>
      <c r="C184" t="str">
        <f>regression!C184</f>
        <v>Transp</v>
      </c>
      <c r="D184" t="str">
        <f>regression!D184</f>
        <v>Sr. Unsec.</v>
      </c>
      <c r="E184">
        <f>regression!E184</f>
        <v>0.93317426457405084</v>
      </c>
      <c r="F184">
        <f>regression!F184</f>
        <v>0.40395245441681715</v>
      </c>
      <c r="G184">
        <f>regression!G184</f>
        <v>0.53820000000000001</v>
      </c>
      <c r="H184">
        <f>regression!H184</f>
        <v>2.9630000000000001</v>
      </c>
      <c r="I184">
        <f t="shared" si="3"/>
        <v>0.80032697583600931</v>
      </c>
    </row>
    <row r="185" spans="1:9" x14ac:dyDescent="0.25">
      <c r="A185">
        <f>regression!A185</f>
        <v>2009</v>
      </c>
      <c r="B185">
        <f>regression!B185</f>
        <v>287</v>
      </c>
      <c r="C185" t="str">
        <f>regression!C185</f>
        <v>Retail</v>
      </c>
      <c r="D185" t="str">
        <f>regression!D185</f>
        <v>Sr. Sec.</v>
      </c>
      <c r="E185">
        <f>regression!E185</f>
        <v>0.80035676061511041</v>
      </c>
      <c r="F185">
        <f>regression!F185</f>
        <v>0.20529730333362298</v>
      </c>
      <c r="G185">
        <f>regression!G185</f>
        <v>0.36450000000000005</v>
      </c>
      <c r="H185">
        <f>regression!H185</f>
        <v>2.2469999999999999</v>
      </c>
      <c r="I185">
        <f t="shared" si="3"/>
        <v>0.23443110952118948</v>
      </c>
    </row>
    <row r="186" spans="1:9" x14ac:dyDescent="0.25">
      <c r="A186">
        <f>regression!A186</f>
        <v>2009</v>
      </c>
      <c r="B186">
        <f>regression!B186</f>
        <v>291</v>
      </c>
      <c r="C186" t="str">
        <f>regression!C186</f>
        <v>Tech</v>
      </c>
      <c r="D186" t="str">
        <f>regression!D186</f>
        <v>Sr. Sub.</v>
      </c>
      <c r="E186">
        <f>regression!E186</f>
        <v>0.99</v>
      </c>
      <c r="F186">
        <f>regression!F186</f>
        <v>0.53293711866719895</v>
      </c>
      <c r="G186">
        <f>regression!G186</f>
        <v>0.70330000000000004</v>
      </c>
      <c r="H186">
        <f>regression!H186</f>
        <v>1.1639999999999999</v>
      </c>
      <c r="I186">
        <f t="shared" si="3"/>
        <v>1.4954060676963419</v>
      </c>
    </row>
    <row r="187" spans="1:9" x14ac:dyDescent="0.25">
      <c r="A187">
        <f>regression!A187</f>
        <v>2009</v>
      </c>
      <c r="B187">
        <f>regression!B187</f>
        <v>292</v>
      </c>
      <c r="C187" t="str">
        <f>regression!C187</f>
        <v>Transp</v>
      </c>
      <c r="D187" t="str">
        <f>regression!D187</f>
        <v>Sr. Sub.</v>
      </c>
      <c r="E187">
        <f>regression!E187</f>
        <v>0.90418335014581674</v>
      </c>
      <c r="F187">
        <f>regression!F187</f>
        <v>0.80430074669163809</v>
      </c>
      <c r="G187">
        <f>regression!G187</f>
        <v>0.70330000000000004</v>
      </c>
      <c r="H187">
        <f>regression!H187</f>
        <v>2.9630000000000001</v>
      </c>
      <c r="I187">
        <f t="shared" si="3"/>
        <v>0.63451114527067565</v>
      </c>
    </row>
    <row r="188" spans="1:9" x14ac:dyDescent="0.25">
      <c r="A188">
        <f>regression!A188</f>
        <v>2009</v>
      </c>
      <c r="B188">
        <f>regression!B188</f>
        <v>293</v>
      </c>
      <c r="C188" t="str">
        <f>regression!C188</f>
        <v>Retail</v>
      </c>
      <c r="D188" t="str">
        <f>regression!D188</f>
        <v>Sr. Unsec.</v>
      </c>
      <c r="E188">
        <f>regression!E188</f>
        <v>0.17954934431314473</v>
      </c>
      <c r="F188">
        <f>regression!F188</f>
        <v>0.26</v>
      </c>
      <c r="G188">
        <f>regression!G188</f>
        <v>0.53820000000000001</v>
      </c>
      <c r="H188">
        <f>regression!H188</f>
        <v>2.2469999999999999</v>
      </c>
      <c r="I188">
        <f t="shared" si="3"/>
        <v>-1.3584901571439718</v>
      </c>
    </row>
    <row r="189" spans="1:9" x14ac:dyDescent="0.25">
      <c r="A189">
        <f>regression!A189</f>
        <v>2009</v>
      </c>
      <c r="B189">
        <f>regression!B189</f>
        <v>294</v>
      </c>
      <c r="C189" t="str">
        <f>regression!C189</f>
        <v>Media</v>
      </c>
      <c r="D189" t="str">
        <f>regression!D189</f>
        <v>Sr. Unsec.</v>
      </c>
      <c r="E189">
        <f>regression!E189</f>
        <v>0.73442811673939223</v>
      </c>
      <c r="F189">
        <f>regression!F189</f>
        <v>0.15419697176703626</v>
      </c>
      <c r="G189">
        <f>regression!G189</f>
        <v>0.53820000000000001</v>
      </c>
      <c r="H189">
        <f>regression!H189</f>
        <v>4.1470000000000002</v>
      </c>
      <c r="I189">
        <f t="shared" si="3"/>
        <v>4.4751786231122734E-2</v>
      </c>
    </row>
    <row r="190" spans="1:9" x14ac:dyDescent="0.25">
      <c r="A190">
        <f>regression!A190</f>
        <v>2009</v>
      </c>
      <c r="B190">
        <f>regression!B190</f>
        <v>296</v>
      </c>
      <c r="C190" t="str">
        <f>regression!C190</f>
        <v>Cap Ind</v>
      </c>
      <c r="D190" t="str">
        <f>regression!D190</f>
        <v>Sr. Unsec.</v>
      </c>
      <c r="E190">
        <f>regression!E190</f>
        <v>0.31161118421554568</v>
      </c>
      <c r="F190">
        <f>regression!F190</f>
        <v>0.83613666139200893</v>
      </c>
      <c r="G190">
        <f>regression!G190</f>
        <v>0.53820000000000001</v>
      </c>
      <c r="H190">
        <f>regression!H190</f>
        <v>3.0710000000000002</v>
      </c>
      <c r="I190">
        <f t="shared" si="3"/>
        <v>-0.96162764571478676</v>
      </c>
    </row>
    <row r="191" spans="1:9" x14ac:dyDescent="0.25">
      <c r="A191">
        <f>regression!A191</f>
        <v>2009</v>
      </c>
      <c r="B191">
        <f>regression!B191</f>
        <v>297</v>
      </c>
      <c r="C191" t="str">
        <f>regression!C191</f>
        <v>Transp</v>
      </c>
      <c r="D191" t="str">
        <f>regression!D191</f>
        <v>Sr. Sec.</v>
      </c>
      <c r="E191">
        <f>regression!E191</f>
        <v>0.99</v>
      </c>
      <c r="F191">
        <f>regression!F191</f>
        <v>0.79899392036391048</v>
      </c>
      <c r="G191">
        <f>regression!G191</f>
        <v>0.36450000000000005</v>
      </c>
      <c r="H191">
        <f>regression!H191</f>
        <v>2.9630000000000001</v>
      </c>
      <c r="I191">
        <f t="shared" si="3"/>
        <v>1.4954060676963419</v>
      </c>
    </row>
    <row r="192" spans="1:9" x14ac:dyDescent="0.25">
      <c r="A192">
        <f>regression!A192</f>
        <v>2009</v>
      </c>
      <c r="B192">
        <f>regression!B192</f>
        <v>298</v>
      </c>
      <c r="C192" t="str">
        <f>regression!C192</f>
        <v>Retail</v>
      </c>
      <c r="D192" t="str">
        <f>regression!D192</f>
        <v>Sr. Sec.</v>
      </c>
      <c r="E192">
        <f>regression!E192</f>
        <v>0.97222836809337143</v>
      </c>
      <c r="F192">
        <f>regression!F192</f>
        <v>0.52323991972374306</v>
      </c>
      <c r="G192">
        <f>regression!G192</f>
        <v>0.36450000000000005</v>
      </c>
      <c r="H192">
        <f>regression!H192</f>
        <v>2.2469999999999999</v>
      </c>
      <c r="I192">
        <f t="shared" si="3"/>
        <v>1.1511894684006854</v>
      </c>
    </row>
    <row r="193" spans="1:9" x14ac:dyDescent="0.25">
      <c r="A193">
        <f>regression!A193</f>
        <v>2009</v>
      </c>
      <c r="B193">
        <f>regression!B193</f>
        <v>298</v>
      </c>
      <c r="C193" t="str">
        <f>regression!C193</f>
        <v>Retail</v>
      </c>
      <c r="D193" t="str">
        <f>regression!D193</f>
        <v>Sr. Sub.</v>
      </c>
      <c r="E193">
        <f>regression!E193</f>
        <v>0.99</v>
      </c>
      <c r="F193">
        <f>regression!F193</f>
        <v>0.52323991972374306</v>
      </c>
      <c r="G193">
        <f>regression!G193</f>
        <v>0.70330000000000004</v>
      </c>
      <c r="H193">
        <f>regression!H193</f>
        <v>2.2469999999999999</v>
      </c>
      <c r="I193">
        <f t="shared" si="3"/>
        <v>1.4954060676963419</v>
      </c>
    </row>
    <row r="194" spans="1:9" x14ac:dyDescent="0.25">
      <c r="A194">
        <f>regression!A194</f>
        <v>2009</v>
      </c>
      <c r="B194">
        <f>regression!B194</f>
        <v>299</v>
      </c>
      <c r="C194" t="str">
        <f>regression!C194</f>
        <v>Cap Ind</v>
      </c>
      <c r="D194" t="str">
        <f>regression!D194</f>
        <v>Sr. Sec.</v>
      </c>
      <c r="E194">
        <f>regression!E194</f>
        <v>0.95712530286908148</v>
      </c>
      <c r="F194">
        <f>regression!F194</f>
        <v>0.57425796295392195</v>
      </c>
      <c r="G194">
        <f>regression!G194</f>
        <v>0.36450000000000005</v>
      </c>
      <c r="H194">
        <f>regression!H194</f>
        <v>3.0710000000000002</v>
      </c>
      <c r="I194">
        <f t="shared" si="3"/>
        <v>0.98564816102249397</v>
      </c>
    </row>
    <row r="195" spans="1:9" x14ac:dyDescent="0.25">
      <c r="A195">
        <f>regression!A195</f>
        <v>2009</v>
      </c>
      <c r="B195">
        <f>regression!B195</f>
        <v>300</v>
      </c>
      <c r="C195" t="str">
        <f>regression!C195</f>
        <v>Cons G</v>
      </c>
      <c r="D195" t="str">
        <f>regression!D195</f>
        <v>Sr. Unsec.</v>
      </c>
      <c r="E195">
        <f>regression!E195</f>
        <v>0.76154080167412763</v>
      </c>
      <c r="F195">
        <f>regression!F195</f>
        <v>0.92330403535137462</v>
      </c>
      <c r="G195">
        <f>regression!G195</f>
        <v>0.53820000000000001</v>
      </c>
      <c r="H195">
        <f>regression!H195</f>
        <v>3.7829999999999999</v>
      </c>
      <c r="I195">
        <f t="shared" ref="I195:I258" si="4">NORMSINV(BETADIST(E195,L$14,L$15))</f>
        <v>0.11937455053312665</v>
      </c>
    </row>
    <row r="196" spans="1:9" x14ac:dyDescent="0.25">
      <c r="A196">
        <f>regression!A196</f>
        <v>2009</v>
      </c>
      <c r="B196">
        <f>regression!B196</f>
        <v>301</v>
      </c>
      <c r="C196" t="str">
        <f>regression!C196</f>
        <v>Media</v>
      </c>
      <c r="D196" t="str">
        <f>regression!D196</f>
        <v>Sr. Unsec.</v>
      </c>
      <c r="E196">
        <f>regression!E196</f>
        <v>0.55943084918260577</v>
      </c>
      <c r="F196">
        <f>regression!F196</f>
        <v>0.23143630736515952</v>
      </c>
      <c r="G196">
        <f>regression!G196</f>
        <v>0.53820000000000001</v>
      </c>
      <c r="H196">
        <f>regression!H196</f>
        <v>4.1470000000000002</v>
      </c>
      <c r="I196">
        <f t="shared" si="4"/>
        <v>-0.3786068649051757</v>
      </c>
    </row>
    <row r="197" spans="1:9" x14ac:dyDescent="0.25">
      <c r="A197">
        <f>regression!A197</f>
        <v>2009</v>
      </c>
      <c r="B197">
        <f>regression!B197</f>
        <v>302</v>
      </c>
      <c r="C197" t="str">
        <f>regression!C197</f>
        <v>Media</v>
      </c>
      <c r="D197" t="str">
        <f>regression!D197</f>
        <v>Sr. Unsec.</v>
      </c>
      <c r="E197">
        <f>regression!E197</f>
        <v>9.6788762124776939E-2</v>
      </c>
      <c r="F197">
        <f>regression!F197</f>
        <v>0.6848675407554724</v>
      </c>
      <c r="G197">
        <f>regression!G197</f>
        <v>0.53820000000000001</v>
      </c>
      <c r="H197">
        <f>regression!H197</f>
        <v>4.1470000000000002</v>
      </c>
      <c r="I197">
        <f t="shared" si="4"/>
        <v>-1.7220824741867213</v>
      </c>
    </row>
    <row r="198" spans="1:9" x14ac:dyDescent="0.25">
      <c r="A198">
        <f>regression!A198</f>
        <v>2009</v>
      </c>
      <c r="B198">
        <f>regression!B198</f>
        <v>302</v>
      </c>
      <c r="C198" t="str">
        <f>regression!C198</f>
        <v>Media</v>
      </c>
      <c r="D198" t="str">
        <f>regression!D198</f>
        <v>Sub.</v>
      </c>
      <c r="E198">
        <f>regression!E198</f>
        <v>4.2263957858085677E-2</v>
      </c>
      <c r="F198">
        <f>regression!F198</f>
        <v>0.6848675407554724</v>
      </c>
      <c r="G198">
        <f>regression!G198</f>
        <v>0.71150000000000002</v>
      </c>
      <c r="H198">
        <f>regression!H198</f>
        <v>4.1470000000000002</v>
      </c>
      <c r="I198">
        <f t="shared" si="4"/>
        <v>-2.1326682932505214</v>
      </c>
    </row>
    <row r="199" spans="1:9" x14ac:dyDescent="0.25">
      <c r="A199">
        <f>regression!A199</f>
        <v>2009</v>
      </c>
      <c r="B199">
        <f>regression!B199</f>
        <v>303</v>
      </c>
      <c r="C199" t="str">
        <f>regression!C199</f>
        <v>Tech</v>
      </c>
      <c r="D199" t="str">
        <f>regression!D199</f>
        <v>Sr. Unsec.</v>
      </c>
      <c r="E199">
        <f>regression!E199</f>
        <v>0.57622066753804679</v>
      </c>
      <c r="F199">
        <f>regression!F199</f>
        <v>0.2047471978316206</v>
      </c>
      <c r="G199">
        <f>regression!G199</f>
        <v>0.53820000000000001</v>
      </c>
      <c r="H199">
        <f>regression!H199</f>
        <v>1.1639999999999999</v>
      </c>
      <c r="I199">
        <f t="shared" si="4"/>
        <v>-0.34033290344060979</v>
      </c>
    </row>
    <row r="200" spans="1:9" x14ac:dyDescent="0.25">
      <c r="A200">
        <f>regression!A200</f>
        <v>2009</v>
      </c>
      <c r="B200">
        <f>regression!B200</f>
        <v>305</v>
      </c>
      <c r="C200" t="str">
        <f>regression!C200</f>
        <v>Retail</v>
      </c>
      <c r="D200" t="str">
        <f>regression!D200</f>
        <v>Sr. Unsec.</v>
      </c>
      <c r="E200">
        <f>regression!E200</f>
        <v>0.80966870975494387</v>
      </c>
      <c r="F200">
        <f>regression!F200</f>
        <v>0.94059006806503898</v>
      </c>
      <c r="G200">
        <f>regression!G200</f>
        <v>0.53820000000000001</v>
      </c>
      <c r="H200">
        <f>regression!H200</f>
        <v>2.2469999999999999</v>
      </c>
      <c r="I200">
        <f t="shared" si="4"/>
        <v>0.26386328582515606</v>
      </c>
    </row>
    <row r="201" spans="1:9" x14ac:dyDescent="0.25">
      <c r="A201">
        <f>regression!A201</f>
        <v>2009</v>
      </c>
      <c r="B201">
        <f>regression!B201</f>
        <v>306</v>
      </c>
      <c r="C201" t="str">
        <f>regression!C201</f>
        <v>Tech</v>
      </c>
      <c r="D201" t="str">
        <f>regression!D201</f>
        <v>Sr. Unsec.</v>
      </c>
      <c r="E201">
        <f>regression!E201</f>
        <v>0.71152721018373977</v>
      </c>
      <c r="F201">
        <f>regression!F201</f>
        <v>0.29514580812399216</v>
      </c>
      <c r="G201">
        <f>regression!G201</f>
        <v>0.53820000000000001</v>
      </c>
      <c r="H201">
        <f>regression!H201</f>
        <v>1.1639999999999999</v>
      </c>
      <c r="I201">
        <f t="shared" si="4"/>
        <v>-1.5486202890044962E-2</v>
      </c>
    </row>
    <row r="202" spans="1:9" x14ac:dyDescent="0.25">
      <c r="A202">
        <f>regression!A202</f>
        <v>2009</v>
      </c>
      <c r="B202">
        <f>regression!B202</f>
        <v>307</v>
      </c>
      <c r="C202" t="str">
        <f>regression!C202</f>
        <v>Transp</v>
      </c>
      <c r="D202" t="str">
        <f>regression!D202</f>
        <v>Sr. Sec.</v>
      </c>
      <c r="E202">
        <f>regression!E202</f>
        <v>0.01</v>
      </c>
      <c r="F202">
        <f>regression!F202</f>
        <v>0.47996737861227023</v>
      </c>
      <c r="G202">
        <f>regression!G202</f>
        <v>0.36450000000000005</v>
      </c>
      <c r="H202">
        <f>regression!H202</f>
        <v>2.9630000000000001</v>
      </c>
      <c r="I202">
        <f t="shared" si="4"/>
        <v>-2.7254375962162003</v>
      </c>
    </row>
    <row r="203" spans="1:9" x14ac:dyDescent="0.25">
      <c r="A203">
        <f>regression!A203</f>
        <v>2009</v>
      </c>
      <c r="B203">
        <f>regression!B203</f>
        <v>307</v>
      </c>
      <c r="C203" t="str">
        <f>regression!C203</f>
        <v>Transp</v>
      </c>
      <c r="D203" t="str">
        <f>regression!D203</f>
        <v>Sr. Unsec.</v>
      </c>
      <c r="E203">
        <f>regression!E203</f>
        <v>0.51446560047328482</v>
      </c>
      <c r="F203">
        <f>regression!F203</f>
        <v>0.47996737861227023</v>
      </c>
      <c r="G203">
        <f>regression!G203</f>
        <v>0.53820000000000001</v>
      </c>
      <c r="H203">
        <f>regression!H203</f>
        <v>2.9630000000000001</v>
      </c>
      <c r="I203">
        <f t="shared" si="4"/>
        <v>-0.48044979823786582</v>
      </c>
    </row>
    <row r="204" spans="1:9" x14ac:dyDescent="0.25">
      <c r="A204">
        <f>regression!A204</f>
        <v>2009</v>
      </c>
      <c r="B204">
        <f>regression!B204</f>
        <v>307</v>
      </c>
      <c r="C204" t="str">
        <f>regression!C204</f>
        <v>Transp</v>
      </c>
      <c r="D204" t="str">
        <f>regression!D204</f>
        <v>Sr. Sub.</v>
      </c>
      <c r="E204">
        <f>regression!E204</f>
        <v>0.47262039163470271</v>
      </c>
      <c r="F204">
        <f>regression!F204</f>
        <v>0.47996737861227023</v>
      </c>
      <c r="G204">
        <f>regression!G204</f>
        <v>0.70330000000000004</v>
      </c>
      <c r="H204">
        <f>regression!H204</f>
        <v>2.9630000000000001</v>
      </c>
      <c r="I204">
        <f t="shared" si="4"/>
        <v>-0.57527472233977939</v>
      </c>
    </row>
    <row r="205" spans="1:9" x14ac:dyDescent="0.25">
      <c r="A205">
        <f>regression!A205</f>
        <v>2009</v>
      </c>
      <c r="B205">
        <f>regression!B205</f>
        <v>308</v>
      </c>
      <c r="C205" t="str">
        <f>regression!C205</f>
        <v>Retail</v>
      </c>
      <c r="D205" t="str">
        <f>regression!D205</f>
        <v>Sr. Unsec.</v>
      </c>
      <c r="E205">
        <f>regression!E205</f>
        <v>0.81954076848268509</v>
      </c>
      <c r="F205">
        <f>regression!F205</f>
        <v>0.80250842045017323</v>
      </c>
      <c r="G205">
        <f>regression!G205</f>
        <v>0.53820000000000001</v>
      </c>
      <c r="H205">
        <f>regression!H205</f>
        <v>2.2469999999999999</v>
      </c>
      <c r="I205">
        <f t="shared" si="4"/>
        <v>0.29600541995974028</v>
      </c>
    </row>
    <row r="206" spans="1:9" x14ac:dyDescent="0.25">
      <c r="A206">
        <f>regression!A206</f>
        <v>2009</v>
      </c>
      <c r="B206">
        <f>regression!B206</f>
        <v>310</v>
      </c>
      <c r="C206" t="str">
        <f>regression!C206</f>
        <v>Transp</v>
      </c>
      <c r="D206" t="str">
        <f>regression!D206</f>
        <v>Sr. Sub.</v>
      </c>
      <c r="E206">
        <f>regression!E206</f>
        <v>0.99</v>
      </c>
      <c r="F206">
        <f>regression!F206</f>
        <v>0.86228138746082417</v>
      </c>
      <c r="G206">
        <f>regression!G206</f>
        <v>0.70330000000000004</v>
      </c>
      <c r="H206">
        <f>regression!H206</f>
        <v>2.9630000000000001</v>
      </c>
      <c r="I206">
        <f t="shared" si="4"/>
        <v>1.4954060676963419</v>
      </c>
    </row>
    <row r="207" spans="1:9" x14ac:dyDescent="0.25">
      <c r="A207">
        <f>regression!A207</f>
        <v>2009</v>
      </c>
      <c r="B207">
        <f>regression!B207</f>
        <v>311</v>
      </c>
      <c r="C207" t="str">
        <f>regression!C207</f>
        <v>Media</v>
      </c>
      <c r="D207" t="str">
        <f>regression!D207</f>
        <v>Sr. Unsec.</v>
      </c>
      <c r="E207">
        <f>regression!E207</f>
        <v>0.24217982484698297</v>
      </c>
      <c r="F207">
        <f>regression!F207</f>
        <v>0.48300381772266715</v>
      </c>
      <c r="G207">
        <f>regression!G207</f>
        <v>0.53820000000000001</v>
      </c>
      <c r="H207">
        <f>regression!H207</f>
        <v>4.1470000000000002</v>
      </c>
      <c r="I207">
        <f t="shared" si="4"/>
        <v>-1.154544392221021</v>
      </c>
    </row>
    <row r="208" spans="1:9" x14ac:dyDescent="0.25">
      <c r="A208">
        <f>regression!A208</f>
        <v>2009</v>
      </c>
      <c r="B208">
        <f>regression!B208</f>
        <v>314</v>
      </c>
      <c r="C208" t="str">
        <f>regression!C208</f>
        <v>Tech</v>
      </c>
      <c r="D208" t="str">
        <f>regression!D208</f>
        <v>Sr. Unsec.</v>
      </c>
      <c r="E208">
        <f>regression!E208</f>
        <v>0.63734660701751711</v>
      </c>
      <c r="F208">
        <f>regression!F208</f>
        <v>0.18741281127308812</v>
      </c>
      <c r="G208">
        <f>regression!G208</f>
        <v>0.53820000000000001</v>
      </c>
      <c r="H208">
        <f>regression!H208</f>
        <v>1.1639999999999999</v>
      </c>
      <c r="I208">
        <f t="shared" si="4"/>
        <v>-0.19832672378886543</v>
      </c>
    </row>
    <row r="209" spans="1:9" x14ac:dyDescent="0.25">
      <c r="A209">
        <f>regression!A209</f>
        <v>2009</v>
      </c>
      <c r="B209">
        <f>regression!B209</f>
        <v>315</v>
      </c>
      <c r="C209" t="str">
        <f>regression!C209</f>
        <v>Transp</v>
      </c>
      <c r="D209" t="str">
        <f>regression!D209</f>
        <v>Sr. Sec.</v>
      </c>
      <c r="E209">
        <f>regression!E209</f>
        <v>0.92386953196525567</v>
      </c>
      <c r="F209">
        <f>regression!F209</f>
        <v>0.25884951558448405</v>
      </c>
      <c r="G209">
        <f>regression!G209</f>
        <v>0.36450000000000005</v>
      </c>
      <c r="H209">
        <f>regression!H209</f>
        <v>2.9630000000000001</v>
      </c>
      <c r="I209">
        <f t="shared" si="4"/>
        <v>0.74213093617662496</v>
      </c>
    </row>
    <row r="210" spans="1:9" x14ac:dyDescent="0.25">
      <c r="A210">
        <f>regression!A210</f>
        <v>2009</v>
      </c>
      <c r="B210">
        <f>regression!B210</f>
        <v>316</v>
      </c>
      <c r="C210" t="str">
        <f>regression!C210</f>
        <v>Retail</v>
      </c>
      <c r="D210" t="str">
        <f>regression!D210</f>
        <v>Sr. Unsec.</v>
      </c>
      <c r="E210">
        <f>regression!E210</f>
        <v>0.98082435829639436</v>
      </c>
      <c r="F210">
        <f>regression!F210</f>
        <v>0.66178434072201453</v>
      </c>
      <c r="G210">
        <f>regression!G210</f>
        <v>0.53820000000000001</v>
      </c>
      <c r="H210">
        <f>regression!H210</f>
        <v>2.2469999999999999</v>
      </c>
      <c r="I210">
        <f t="shared" si="4"/>
        <v>1.2824499526442463</v>
      </c>
    </row>
    <row r="211" spans="1:9" x14ac:dyDescent="0.25">
      <c r="A211">
        <f>regression!A211</f>
        <v>2009</v>
      </c>
      <c r="B211">
        <f>regression!B211</f>
        <v>317</v>
      </c>
      <c r="C211" t="str">
        <f>regression!C211</f>
        <v>Media</v>
      </c>
      <c r="D211" t="str">
        <f>regression!D211</f>
        <v>Sr. Unsec.</v>
      </c>
      <c r="E211">
        <f>regression!E211</f>
        <v>0.76209787383675576</v>
      </c>
      <c r="F211">
        <f>regression!F211</f>
        <v>0.37028683989403055</v>
      </c>
      <c r="G211">
        <f>regression!G211</f>
        <v>0.53820000000000001</v>
      </c>
      <c r="H211">
        <f>regression!H211</f>
        <v>4.1470000000000002</v>
      </c>
      <c r="I211">
        <f t="shared" si="4"/>
        <v>0.12095144536633133</v>
      </c>
    </row>
    <row r="212" spans="1:9" x14ac:dyDescent="0.25">
      <c r="A212">
        <f>regression!A212</f>
        <v>2009</v>
      </c>
      <c r="B212">
        <f>regression!B212</f>
        <v>318</v>
      </c>
      <c r="C212" t="str">
        <f>regression!C212</f>
        <v>Retail</v>
      </c>
      <c r="D212" t="str">
        <f>regression!D212</f>
        <v>Sr. Sub.</v>
      </c>
      <c r="E212">
        <f>regression!E212</f>
        <v>0.65374733021259313</v>
      </c>
      <c r="F212">
        <f>regression!F212</f>
        <v>0.7742218751608978</v>
      </c>
      <c r="G212">
        <f>regression!G212</f>
        <v>0.70330000000000004</v>
      </c>
      <c r="H212">
        <f>regression!H212</f>
        <v>2.2469999999999999</v>
      </c>
      <c r="I212">
        <f t="shared" si="4"/>
        <v>-0.15915935104319034</v>
      </c>
    </row>
    <row r="213" spans="1:9" x14ac:dyDescent="0.25">
      <c r="A213">
        <f>regression!A213</f>
        <v>2009</v>
      </c>
      <c r="B213">
        <f>regression!B213</f>
        <v>319</v>
      </c>
      <c r="C213" t="str">
        <f>regression!C213</f>
        <v>Tech</v>
      </c>
      <c r="D213" t="str">
        <f>regression!D213</f>
        <v>Sr. Sec.</v>
      </c>
      <c r="E213">
        <f>regression!E213</f>
        <v>0.57599219883203512</v>
      </c>
      <c r="F213">
        <f>regression!F213</f>
        <v>0.64298343381969369</v>
      </c>
      <c r="G213">
        <f>regression!G213</f>
        <v>0.36450000000000005</v>
      </c>
      <c r="H213">
        <f>regression!H213</f>
        <v>1.1639999999999999</v>
      </c>
      <c r="I213">
        <f t="shared" si="4"/>
        <v>-0.34085520145390452</v>
      </c>
    </row>
    <row r="214" spans="1:9" x14ac:dyDescent="0.25">
      <c r="A214">
        <f>regression!A214</f>
        <v>2009</v>
      </c>
      <c r="B214">
        <f>regression!B214</f>
        <v>319</v>
      </c>
      <c r="C214" t="str">
        <f>regression!C214</f>
        <v>Tech</v>
      </c>
      <c r="D214" t="str">
        <f>regression!D214</f>
        <v>Sr. Unsec.</v>
      </c>
      <c r="E214">
        <f>regression!E214</f>
        <v>0.73792662335932258</v>
      </c>
      <c r="F214">
        <f>regression!F214</f>
        <v>0.64298343381969369</v>
      </c>
      <c r="G214">
        <f>regression!G214</f>
        <v>0.53820000000000001</v>
      </c>
      <c r="H214">
        <f>regression!H214</f>
        <v>1.1639999999999999</v>
      </c>
      <c r="I214">
        <f t="shared" si="4"/>
        <v>5.4163416551009549E-2</v>
      </c>
    </row>
    <row r="215" spans="1:9" x14ac:dyDescent="0.25">
      <c r="A215">
        <f>regression!A215</f>
        <v>2009</v>
      </c>
      <c r="B215">
        <f>regression!B215</f>
        <v>320</v>
      </c>
      <c r="C215" t="str">
        <f>regression!C215</f>
        <v>Transp</v>
      </c>
      <c r="D215" t="str">
        <f>regression!D215</f>
        <v>Sub.</v>
      </c>
      <c r="E215">
        <f>regression!E215</f>
        <v>0.97807546726405625</v>
      </c>
      <c r="F215">
        <f>regression!F215</f>
        <v>0.7053049625318708</v>
      </c>
      <c r="G215">
        <f>regression!G215</f>
        <v>0.71150000000000002</v>
      </c>
      <c r="H215">
        <f>regression!H215</f>
        <v>2.9630000000000001</v>
      </c>
      <c r="I215">
        <f t="shared" si="4"/>
        <v>1.2359179591779113</v>
      </c>
    </row>
    <row r="216" spans="1:9" x14ac:dyDescent="0.25">
      <c r="A216">
        <f>regression!A216</f>
        <v>2009</v>
      </c>
      <c r="B216">
        <f>regression!B216</f>
        <v>321</v>
      </c>
      <c r="C216" t="str">
        <f>regression!C216</f>
        <v>Retail</v>
      </c>
      <c r="D216" t="str">
        <f>regression!D216</f>
        <v>Sr. Sub.</v>
      </c>
      <c r="E216">
        <f>regression!E216</f>
        <v>0.55677303921699517</v>
      </c>
      <c r="F216">
        <f>regression!F216</f>
        <v>0.34462043328749981</v>
      </c>
      <c r="G216">
        <f>regression!G216</f>
        <v>0.70330000000000004</v>
      </c>
      <c r="H216">
        <f>regression!H216</f>
        <v>2.2469999999999999</v>
      </c>
      <c r="I216">
        <f t="shared" si="4"/>
        <v>-0.38464788775204356</v>
      </c>
    </row>
    <row r="217" spans="1:9" x14ac:dyDescent="0.25">
      <c r="A217">
        <f>regression!A217</f>
        <v>2009</v>
      </c>
      <c r="B217">
        <f>regression!B217</f>
        <v>322</v>
      </c>
      <c r="C217" t="str">
        <f>regression!C217</f>
        <v>Cons G</v>
      </c>
      <c r="D217" t="str">
        <f>regression!D217</f>
        <v>Sr. Unsec.</v>
      </c>
      <c r="E217">
        <f>regression!E217</f>
        <v>0.30142650561451911</v>
      </c>
      <c r="F217">
        <f>regression!F217</f>
        <v>0.73301858763614658</v>
      </c>
      <c r="G217">
        <f>regression!G217</f>
        <v>0.53820000000000001</v>
      </c>
      <c r="H217">
        <f>regression!H217</f>
        <v>3.7829999999999999</v>
      </c>
      <c r="I217">
        <f t="shared" si="4"/>
        <v>-0.98842467600092476</v>
      </c>
    </row>
    <row r="218" spans="1:9" x14ac:dyDescent="0.25">
      <c r="A218">
        <f>regression!A218</f>
        <v>2009</v>
      </c>
      <c r="B218">
        <f>regression!B218</f>
        <v>323</v>
      </c>
      <c r="C218" t="str">
        <f>regression!C218</f>
        <v>Cons G</v>
      </c>
      <c r="D218" t="str">
        <f>regression!D218</f>
        <v>Sr. Unsec.</v>
      </c>
      <c r="E218">
        <f>regression!E218</f>
        <v>0.74240603610873213</v>
      </c>
      <c r="F218">
        <f>regression!F218</f>
        <v>0.83392665242960817</v>
      </c>
      <c r="G218">
        <f>regression!G218</f>
        <v>0.53820000000000001</v>
      </c>
      <c r="H218">
        <f>regression!H218</f>
        <v>3.7829999999999999</v>
      </c>
      <c r="I218">
        <f t="shared" si="4"/>
        <v>6.6302504528368153E-2</v>
      </c>
    </row>
    <row r="219" spans="1:9" x14ac:dyDescent="0.25">
      <c r="A219">
        <f>regression!A219</f>
        <v>2009</v>
      </c>
      <c r="B219">
        <f>regression!B219</f>
        <v>323</v>
      </c>
      <c r="C219" t="str">
        <f>regression!C219</f>
        <v>Cons G</v>
      </c>
      <c r="D219" t="str">
        <f>regression!D219</f>
        <v>Sr. Sub.</v>
      </c>
      <c r="E219">
        <f>regression!E219</f>
        <v>0.77017602262496954</v>
      </c>
      <c r="F219">
        <f>regression!F219</f>
        <v>0.83392665242960817</v>
      </c>
      <c r="G219">
        <f>regression!G219</f>
        <v>0.70330000000000004</v>
      </c>
      <c r="H219">
        <f>regression!H219</f>
        <v>3.7829999999999999</v>
      </c>
      <c r="I219">
        <f t="shared" si="4"/>
        <v>0.14403831472724857</v>
      </c>
    </row>
    <row r="220" spans="1:9" x14ac:dyDescent="0.25">
      <c r="A220">
        <f>regression!A220</f>
        <v>2009</v>
      </c>
      <c r="B220">
        <f>regression!B220</f>
        <v>324</v>
      </c>
      <c r="C220" t="str">
        <f>regression!C220</f>
        <v>Media</v>
      </c>
      <c r="D220" t="str">
        <f>regression!D220</f>
        <v>Sr. Unsec.</v>
      </c>
      <c r="E220">
        <f>regression!E220</f>
        <v>0.83238860327005382</v>
      </c>
      <c r="F220">
        <f>regression!F220</f>
        <v>0.82235294946736481</v>
      </c>
      <c r="G220">
        <f>regression!G220</f>
        <v>0.53820000000000001</v>
      </c>
      <c r="H220">
        <f>regression!H220</f>
        <v>4.1470000000000002</v>
      </c>
      <c r="I220">
        <f t="shared" si="4"/>
        <v>0.33946590060727788</v>
      </c>
    </row>
    <row r="221" spans="1:9" x14ac:dyDescent="0.25">
      <c r="A221">
        <f>regression!A221</f>
        <v>2009</v>
      </c>
      <c r="B221">
        <f>regression!B221</f>
        <v>325</v>
      </c>
      <c r="C221" t="str">
        <f>regression!C221</f>
        <v>Cap Ind</v>
      </c>
      <c r="D221" t="str">
        <f>regression!D221</f>
        <v>Sr. Unsec.</v>
      </c>
      <c r="E221">
        <f>regression!E221</f>
        <v>0.77813888953208921</v>
      </c>
      <c r="F221">
        <f>regression!F221</f>
        <v>0.85013264541030864</v>
      </c>
      <c r="G221">
        <f>regression!G221</f>
        <v>0.53820000000000001</v>
      </c>
      <c r="H221">
        <f>regression!H221</f>
        <v>3.0710000000000002</v>
      </c>
      <c r="I221">
        <f t="shared" si="4"/>
        <v>0.16722064910446677</v>
      </c>
    </row>
    <row r="222" spans="1:9" x14ac:dyDescent="0.25">
      <c r="A222">
        <f>regression!A222</f>
        <v>2009</v>
      </c>
      <c r="B222">
        <f>regression!B222</f>
        <v>325</v>
      </c>
      <c r="C222" t="str">
        <f>regression!C222</f>
        <v>Cap Ind</v>
      </c>
      <c r="D222" t="str">
        <f>regression!D222</f>
        <v>Sr. Sub.</v>
      </c>
      <c r="E222">
        <f>regression!E222</f>
        <v>0.52634980507194995</v>
      </c>
      <c r="F222">
        <f>regression!F222</f>
        <v>0.85013264541030864</v>
      </c>
      <c r="G222">
        <f>regression!G222</f>
        <v>0.70330000000000004</v>
      </c>
      <c r="H222">
        <f>regression!H222</f>
        <v>3.0710000000000002</v>
      </c>
      <c r="I222">
        <f t="shared" si="4"/>
        <v>-0.4535782872840684</v>
      </c>
    </row>
    <row r="223" spans="1:9" x14ac:dyDescent="0.25">
      <c r="A223">
        <f>regression!A223</f>
        <v>2009</v>
      </c>
      <c r="B223">
        <f>regression!B223</f>
        <v>326</v>
      </c>
      <c r="C223" t="str">
        <f>regression!C223</f>
        <v>Media</v>
      </c>
      <c r="D223" t="str">
        <f>regression!D223</f>
        <v>Sr. Unsec.</v>
      </c>
      <c r="E223">
        <f>regression!E223</f>
        <v>0.93534980479478835</v>
      </c>
      <c r="F223">
        <f>regression!F223</f>
        <v>0.37049516497315171</v>
      </c>
      <c r="G223">
        <f>regression!G223</f>
        <v>0.53820000000000001</v>
      </c>
      <c r="H223">
        <f>regression!H223</f>
        <v>4.1470000000000002</v>
      </c>
      <c r="I223">
        <f t="shared" si="4"/>
        <v>0.81480699979353222</v>
      </c>
    </row>
    <row r="224" spans="1:9" x14ac:dyDescent="0.25">
      <c r="A224">
        <f>regression!A224</f>
        <v>2009</v>
      </c>
      <c r="B224">
        <f>regression!B224</f>
        <v>328</v>
      </c>
      <c r="C224" t="str">
        <f>regression!C224</f>
        <v>Retail</v>
      </c>
      <c r="D224" t="str">
        <f>regression!D224</f>
        <v>Sr. Unsec.</v>
      </c>
      <c r="E224">
        <f>regression!E224</f>
        <v>0.18601185321807867</v>
      </c>
      <c r="F224">
        <f>regression!F224</f>
        <v>0.82519259404353207</v>
      </c>
      <c r="G224">
        <f>regression!G224</f>
        <v>0.53820000000000001</v>
      </c>
      <c r="H224">
        <f>regression!H224</f>
        <v>2.2469999999999999</v>
      </c>
      <c r="I224">
        <f t="shared" si="4"/>
        <v>-1.3355433192928454</v>
      </c>
    </row>
    <row r="225" spans="1:9" x14ac:dyDescent="0.25">
      <c r="A225">
        <f>regression!A225</f>
        <v>2009</v>
      </c>
      <c r="B225">
        <f>regression!B225</f>
        <v>329</v>
      </c>
      <c r="C225" t="str">
        <f>regression!C225</f>
        <v>Tech</v>
      </c>
      <c r="D225" t="str">
        <f>regression!D225</f>
        <v>Sr. Unsec.</v>
      </c>
      <c r="E225">
        <f>regression!E225</f>
        <v>0.74814656003415592</v>
      </c>
      <c r="F225">
        <f>regression!F225</f>
        <v>0.7706749225844941</v>
      </c>
      <c r="G225">
        <f>regression!G225</f>
        <v>0.53820000000000001</v>
      </c>
      <c r="H225">
        <f>regression!H225</f>
        <v>1.1639999999999999</v>
      </c>
      <c r="I225">
        <f t="shared" si="4"/>
        <v>8.2010809101081883E-2</v>
      </c>
    </row>
    <row r="226" spans="1:9" x14ac:dyDescent="0.25">
      <c r="A226">
        <f>regression!A226</f>
        <v>2009</v>
      </c>
      <c r="B226">
        <f>regression!B226</f>
        <v>333</v>
      </c>
      <c r="C226" t="str">
        <f>regression!C226</f>
        <v>Media</v>
      </c>
      <c r="D226" t="str">
        <f>regression!D226</f>
        <v>Sr. Unsec.</v>
      </c>
      <c r="E226">
        <f>regression!E226</f>
        <v>0.65532750606119627</v>
      </c>
      <c r="F226">
        <f>regression!F226</f>
        <v>0.41413523854731749</v>
      </c>
      <c r="G226">
        <f>regression!G226</f>
        <v>0.53820000000000001</v>
      </c>
      <c r="H226">
        <f>regression!H226</f>
        <v>4.1470000000000002</v>
      </c>
      <c r="I226">
        <f t="shared" si="4"/>
        <v>-0.15535441775434328</v>
      </c>
    </row>
    <row r="227" spans="1:9" x14ac:dyDescent="0.25">
      <c r="A227">
        <f>regression!A227</f>
        <v>2009</v>
      </c>
      <c r="B227">
        <f>regression!B227</f>
        <v>333</v>
      </c>
      <c r="C227" t="str">
        <f>regression!C227</f>
        <v>Media</v>
      </c>
      <c r="D227" t="str">
        <f>regression!D227</f>
        <v>Sr. Sub.</v>
      </c>
      <c r="E227">
        <f>regression!E227</f>
        <v>0.90599404713869092</v>
      </c>
      <c r="F227">
        <f>regression!F227</f>
        <v>0.41413523854731749</v>
      </c>
      <c r="G227">
        <f>regression!G227</f>
        <v>0.70330000000000004</v>
      </c>
      <c r="H227">
        <f>regression!H227</f>
        <v>4.1470000000000002</v>
      </c>
      <c r="I227">
        <f t="shared" si="4"/>
        <v>0.64369854289261408</v>
      </c>
    </row>
    <row r="228" spans="1:9" x14ac:dyDescent="0.25">
      <c r="A228">
        <f>regression!A228</f>
        <v>2009</v>
      </c>
      <c r="B228">
        <f>regression!B228</f>
        <v>334</v>
      </c>
      <c r="C228" t="str">
        <f>regression!C228</f>
        <v>Retail</v>
      </c>
      <c r="D228" t="str">
        <f>regression!D228</f>
        <v>Sr. Unsec.</v>
      </c>
      <c r="E228">
        <f>regression!E228</f>
        <v>0.895144922709465</v>
      </c>
      <c r="F228">
        <f>regression!F228</f>
        <v>0.59637096013749225</v>
      </c>
      <c r="G228">
        <f>regression!G228</f>
        <v>0.53820000000000001</v>
      </c>
      <c r="H228">
        <f>regression!H228</f>
        <v>2.2469999999999999</v>
      </c>
      <c r="I228">
        <f t="shared" si="4"/>
        <v>0.59041454875604638</v>
      </c>
    </row>
    <row r="229" spans="1:9" x14ac:dyDescent="0.25">
      <c r="A229">
        <f>regression!A229</f>
        <v>2009</v>
      </c>
      <c r="B229">
        <f>regression!B229</f>
        <v>336</v>
      </c>
      <c r="C229" t="str">
        <f>regression!C229</f>
        <v>Transp</v>
      </c>
      <c r="D229" t="str">
        <f>regression!D229</f>
        <v>Sr. Sec.</v>
      </c>
      <c r="E229">
        <f>regression!E229</f>
        <v>0.82873178800344471</v>
      </c>
      <c r="F229">
        <f>regression!F229</f>
        <v>0.65035028198044809</v>
      </c>
      <c r="G229">
        <f>regression!G229</f>
        <v>0.36450000000000005</v>
      </c>
      <c r="H229">
        <f>regression!H229</f>
        <v>2.9630000000000001</v>
      </c>
      <c r="I229">
        <f t="shared" si="4"/>
        <v>0.32689447930041871</v>
      </c>
    </row>
    <row r="230" spans="1:9" x14ac:dyDescent="0.25">
      <c r="A230">
        <f>regression!A230</f>
        <v>2009</v>
      </c>
      <c r="B230">
        <f>regression!B230</f>
        <v>337</v>
      </c>
      <c r="C230" t="str">
        <f>regression!C230</f>
        <v>Retail</v>
      </c>
      <c r="D230" t="str">
        <f>regression!D230</f>
        <v>Sr. Unsec.</v>
      </c>
      <c r="E230">
        <f>regression!E230</f>
        <v>0.54438598661661153</v>
      </c>
      <c r="F230">
        <f>regression!F230</f>
        <v>0.37308013093765113</v>
      </c>
      <c r="G230">
        <f>regression!G230</f>
        <v>0.53820000000000001</v>
      </c>
      <c r="H230">
        <f>regression!H230</f>
        <v>2.2469999999999999</v>
      </c>
      <c r="I230">
        <f t="shared" si="4"/>
        <v>-0.41275391182348808</v>
      </c>
    </row>
    <row r="231" spans="1:9" x14ac:dyDescent="0.25">
      <c r="A231">
        <f>regression!A231</f>
        <v>2009</v>
      </c>
      <c r="B231">
        <f>regression!B231</f>
        <v>338</v>
      </c>
      <c r="C231" t="str">
        <f>regression!C231</f>
        <v>Tech</v>
      </c>
      <c r="D231" t="str">
        <f>regression!D231</f>
        <v>Sr. Unsec.</v>
      </c>
      <c r="E231">
        <f>regression!E231</f>
        <v>0.78084052650332447</v>
      </c>
      <c r="F231">
        <f>regression!F231</f>
        <v>0.66224073162408104</v>
      </c>
      <c r="G231">
        <f>regression!G231</f>
        <v>0.53820000000000001</v>
      </c>
      <c r="H231">
        <f>regression!H231</f>
        <v>1.1639999999999999</v>
      </c>
      <c r="I231">
        <f t="shared" si="4"/>
        <v>0.17518765261276562</v>
      </c>
    </row>
    <row r="232" spans="1:9" x14ac:dyDescent="0.25">
      <c r="A232">
        <f>regression!A232</f>
        <v>2009</v>
      </c>
      <c r="B232">
        <f>regression!B232</f>
        <v>339</v>
      </c>
      <c r="C232" t="str">
        <f>regression!C232</f>
        <v>Transp</v>
      </c>
      <c r="D232" t="str">
        <f>regression!D232</f>
        <v>Sr. Sec.</v>
      </c>
      <c r="E232">
        <f>regression!E232</f>
        <v>0.61715316200256343</v>
      </c>
      <c r="F232">
        <f>regression!F232</f>
        <v>0.83175535466956585</v>
      </c>
      <c r="G232">
        <f>regression!G232</f>
        <v>0.36450000000000005</v>
      </c>
      <c r="H232">
        <f>regression!H232</f>
        <v>2.9630000000000001</v>
      </c>
      <c r="I232">
        <f t="shared" si="4"/>
        <v>-0.24583728799342167</v>
      </c>
    </row>
    <row r="233" spans="1:9" x14ac:dyDescent="0.25">
      <c r="A233">
        <f>regression!A233</f>
        <v>2009</v>
      </c>
      <c r="B233">
        <f>regression!B233</f>
        <v>340</v>
      </c>
      <c r="C233" t="str">
        <f>regression!C233</f>
        <v>Media</v>
      </c>
      <c r="D233" t="str">
        <f>regression!D233</f>
        <v>Sr. Unsec.</v>
      </c>
      <c r="E233">
        <f>regression!E233</f>
        <v>0.84987534433126455</v>
      </c>
      <c r="F233">
        <f>regression!F233</f>
        <v>0.79780068093659473</v>
      </c>
      <c r="G233">
        <f>regression!G233</f>
        <v>0.53820000000000001</v>
      </c>
      <c r="H233">
        <f>regression!H233</f>
        <v>4.1470000000000002</v>
      </c>
      <c r="I233">
        <f t="shared" si="4"/>
        <v>0.40208460579075495</v>
      </c>
    </row>
    <row r="234" spans="1:9" x14ac:dyDescent="0.25">
      <c r="A234">
        <f>regression!A234</f>
        <v>2009</v>
      </c>
      <c r="B234">
        <f>regression!B234</f>
        <v>340</v>
      </c>
      <c r="C234" t="str">
        <f>regression!C234</f>
        <v>Media</v>
      </c>
      <c r="D234" t="str">
        <f>regression!D234</f>
        <v>Sr. Sub.</v>
      </c>
      <c r="E234">
        <f>regression!E234</f>
        <v>0.86654142132997514</v>
      </c>
      <c r="F234">
        <f>regression!F234</f>
        <v>0.79780068093659473</v>
      </c>
      <c r="G234">
        <f>regression!G234</f>
        <v>0.70330000000000004</v>
      </c>
      <c r="H234">
        <f>regression!H234</f>
        <v>4.1470000000000002</v>
      </c>
      <c r="I234">
        <f t="shared" si="4"/>
        <v>0.46629601335251464</v>
      </c>
    </row>
    <row r="235" spans="1:9" x14ac:dyDescent="0.25">
      <c r="A235">
        <f>regression!A235</f>
        <v>2009</v>
      </c>
      <c r="B235">
        <f>regression!B235</f>
        <v>342</v>
      </c>
      <c r="C235" t="str">
        <f>regression!C235</f>
        <v>Retail</v>
      </c>
      <c r="D235" t="str">
        <f>regression!D235</f>
        <v>Sr. Unsec.</v>
      </c>
      <c r="E235">
        <f>regression!E235</f>
        <v>0.66017620335698135</v>
      </c>
      <c r="F235">
        <f>regression!F235</f>
        <v>0.20867876306453159</v>
      </c>
      <c r="G235">
        <f>regression!G235</f>
        <v>0.53820000000000001</v>
      </c>
      <c r="H235">
        <f>regression!H235</f>
        <v>2.2469999999999999</v>
      </c>
      <c r="I235">
        <f t="shared" si="4"/>
        <v>-0.1436422509544874</v>
      </c>
    </row>
    <row r="236" spans="1:9" x14ac:dyDescent="0.25">
      <c r="A236">
        <f>regression!A236</f>
        <v>2009</v>
      </c>
      <c r="B236">
        <f>regression!B236</f>
        <v>344</v>
      </c>
      <c r="C236" t="str">
        <f>regression!C236</f>
        <v>Transp</v>
      </c>
      <c r="D236" t="str">
        <f>regression!D236</f>
        <v>Sr. Sec.</v>
      </c>
      <c r="E236">
        <f>regression!E236</f>
        <v>0.96666427532434462</v>
      </c>
      <c r="F236">
        <f>regression!F236</f>
        <v>0.27842787804664387</v>
      </c>
      <c r="G236">
        <f>regression!G236</f>
        <v>0.36450000000000005</v>
      </c>
      <c r="H236">
        <f>regression!H236</f>
        <v>2.9630000000000001</v>
      </c>
      <c r="I236">
        <f t="shared" si="4"/>
        <v>1.0832496767621971</v>
      </c>
    </row>
    <row r="237" spans="1:9" x14ac:dyDescent="0.25">
      <c r="A237">
        <f>regression!A237</f>
        <v>2009</v>
      </c>
      <c r="B237">
        <f>regression!B237</f>
        <v>346</v>
      </c>
      <c r="C237" t="str">
        <f>regression!C237</f>
        <v>Media</v>
      </c>
      <c r="D237" t="str">
        <f>regression!D237</f>
        <v>Sr. Unsec.</v>
      </c>
      <c r="E237">
        <f>regression!E237</f>
        <v>0.99</v>
      </c>
      <c r="F237">
        <f>regression!F237</f>
        <v>0.88556872400827624</v>
      </c>
      <c r="G237">
        <f>regression!G237</f>
        <v>0.53820000000000001</v>
      </c>
      <c r="H237">
        <f>regression!H237</f>
        <v>4.1470000000000002</v>
      </c>
      <c r="I237">
        <f t="shared" si="4"/>
        <v>1.4954060676963419</v>
      </c>
    </row>
    <row r="238" spans="1:9" x14ac:dyDescent="0.25">
      <c r="A238">
        <f>regression!A238</f>
        <v>2009</v>
      </c>
      <c r="B238">
        <f>regression!B238</f>
        <v>347</v>
      </c>
      <c r="C238" t="str">
        <f>regression!C238</f>
        <v>Retail</v>
      </c>
      <c r="D238" t="str">
        <f>regression!D238</f>
        <v>Sr. Unsec.</v>
      </c>
      <c r="E238">
        <f>regression!E238</f>
        <v>0.80023651341199875</v>
      </c>
      <c r="F238">
        <f>regression!F238</f>
        <v>0.5286166011657677</v>
      </c>
      <c r="G238">
        <f>regression!G238</f>
        <v>0.53820000000000001</v>
      </c>
      <c r="H238">
        <f>regression!H238</f>
        <v>2.2469999999999999</v>
      </c>
      <c r="I238">
        <f t="shared" si="4"/>
        <v>0.23405629680732404</v>
      </c>
    </row>
    <row r="239" spans="1:9" x14ac:dyDescent="0.25">
      <c r="A239">
        <f>regression!A239</f>
        <v>2009</v>
      </c>
      <c r="B239">
        <f>regression!B239</f>
        <v>349</v>
      </c>
      <c r="C239" t="str">
        <f>regression!C239</f>
        <v>Transp</v>
      </c>
      <c r="D239" t="str">
        <f>regression!D239</f>
        <v>Sr. Unsec.</v>
      </c>
      <c r="E239">
        <f>regression!E239</f>
        <v>0.85680361959338192</v>
      </c>
      <c r="F239">
        <f>regression!F239</f>
        <v>0.85950272907484193</v>
      </c>
      <c r="G239">
        <f>regression!G239</f>
        <v>0.53820000000000001</v>
      </c>
      <c r="H239">
        <f>regression!H239</f>
        <v>2.9630000000000001</v>
      </c>
      <c r="I239">
        <f t="shared" si="4"/>
        <v>0.42818187753151205</v>
      </c>
    </row>
    <row r="240" spans="1:9" x14ac:dyDescent="0.25">
      <c r="A240">
        <f>regression!A240</f>
        <v>2009</v>
      </c>
      <c r="B240">
        <f>regression!B240</f>
        <v>351</v>
      </c>
      <c r="C240" t="str">
        <f>regression!C240</f>
        <v>Cons G</v>
      </c>
      <c r="D240" t="str">
        <f>regression!D240</f>
        <v>Sr. Unsec.</v>
      </c>
      <c r="E240">
        <f>regression!E240</f>
        <v>0.70307803926467893</v>
      </c>
      <c r="F240">
        <f>regression!F240</f>
        <v>0.15230984655413038</v>
      </c>
      <c r="G240">
        <f>regression!G240</f>
        <v>0.53820000000000001</v>
      </c>
      <c r="H240">
        <f>regression!H240</f>
        <v>3.7829999999999999</v>
      </c>
      <c r="I240">
        <f t="shared" si="4"/>
        <v>-3.7169137794448547E-2</v>
      </c>
    </row>
    <row r="241" spans="1:9" x14ac:dyDescent="0.25">
      <c r="A241">
        <f>regression!A241</f>
        <v>2009</v>
      </c>
      <c r="B241">
        <f>regression!B241</f>
        <v>352</v>
      </c>
      <c r="C241" t="str">
        <f>regression!C241</f>
        <v>Cons G</v>
      </c>
      <c r="D241" t="str">
        <f>regression!D241</f>
        <v>Sr. Unsec.</v>
      </c>
      <c r="E241">
        <f>regression!E241</f>
        <v>0.20905135177075873</v>
      </c>
      <c r="F241">
        <f>regression!F241</f>
        <v>0.65999015478624501</v>
      </c>
      <c r="G241">
        <f>regression!G241</f>
        <v>0.53820000000000001</v>
      </c>
      <c r="H241">
        <f>regression!H241</f>
        <v>3.7829999999999999</v>
      </c>
      <c r="I241">
        <f t="shared" si="4"/>
        <v>-1.2576877052828845</v>
      </c>
    </row>
    <row r="242" spans="1:9" x14ac:dyDescent="0.25">
      <c r="A242">
        <f>regression!A242</f>
        <v>2009</v>
      </c>
      <c r="B242">
        <f>regression!B242</f>
        <v>353</v>
      </c>
      <c r="C242" t="str">
        <f>regression!C242</f>
        <v>Media</v>
      </c>
      <c r="D242" t="str">
        <f>regression!D242</f>
        <v>Sr. Unsec.</v>
      </c>
      <c r="E242">
        <f>regression!E242</f>
        <v>0.53515243767738352</v>
      </c>
      <c r="F242">
        <f>regression!F242</f>
        <v>0.89</v>
      </c>
      <c r="G242">
        <f>regression!G242</f>
        <v>0.53820000000000001</v>
      </c>
      <c r="H242">
        <f>regression!H242</f>
        <v>4.1470000000000002</v>
      </c>
      <c r="I242">
        <f t="shared" si="4"/>
        <v>-0.43366423536890431</v>
      </c>
    </row>
    <row r="243" spans="1:9" x14ac:dyDescent="0.25">
      <c r="A243">
        <f>regression!A243</f>
        <v>2009</v>
      </c>
      <c r="B243">
        <f>regression!B243</f>
        <v>358</v>
      </c>
      <c r="C243" t="str">
        <f>regression!C243</f>
        <v>Retail</v>
      </c>
      <c r="D243" t="str">
        <f>regression!D243</f>
        <v>Sr. Unsec.</v>
      </c>
      <c r="E243">
        <f>regression!E243</f>
        <v>0.90810948919296264</v>
      </c>
      <c r="F243">
        <f>regression!F243</f>
        <v>0.26327661251760698</v>
      </c>
      <c r="G243">
        <f>regression!G243</f>
        <v>0.53820000000000001</v>
      </c>
      <c r="H243">
        <f>regression!H243</f>
        <v>2.2469999999999999</v>
      </c>
      <c r="I243">
        <f t="shared" si="4"/>
        <v>0.65459471698208382</v>
      </c>
    </row>
    <row r="244" spans="1:9" x14ac:dyDescent="0.25">
      <c r="A244">
        <f>regression!A244</f>
        <v>2009</v>
      </c>
      <c r="B244">
        <f>regression!B244</f>
        <v>359</v>
      </c>
      <c r="C244" t="str">
        <f>regression!C244</f>
        <v>Media</v>
      </c>
      <c r="D244" t="str">
        <f>regression!D244</f>
        <v>Sr. Unsec.</v>
      </c>
      <c r="E244">
        <f>regression!E244</f>
        <v>0.01</v>
      </c>
      <c r="F244">
        <f>regression!F244</f>
        <v>0.49649820800886935</v>
      </c>
      <c r="G244">
        <f>regression!G244</f>
        <v>0.53820000000000001</v>
      </c>
      <c r="H244">
        <f>regression!H244</f>
        <v>4.1470000000000002</v>
      </c>
      <c r="I244">
        <f t="shared" si="4"/>
        <v>-2.7254375962162003</v>
      </c>
    </row>
    <row r="245" spans="1:9" x14ac:dyDescent="0.25">
      <c r="A245">
        <f>regression!A245</f>
        <v>2009</v>
      </c>
      <c r="B245">
        <f>regression!B245</f>
        <v>360</v>
      </c>
      <c r="C245" t="str">
        <f>regression!C245</f>
        <v>Retail</v>
      </c>
      <c r="D245" t="str">
        <f>regression!D245</f>
        <v>Sub.</v>
      </c>
      <c r="E245">
        <f>regression!E245</f>
        <v>0.1064265402954816</v>
      </c>
      <c r="F245">
        <f>regression!F245</f>
        <v>0.43238411062561111</v>
      </c>
      <c r="G245">
        <f>regression!G245</f>
        <v>0.71150000000000002</v>
      </c>
      <c r="H245">
        <f>regression!H245</f>
        <v>2.2469999999999999</v>
      </c>
      <c r="I245">
        <f t="shared" si="4"/>
        <v>-1.6701426410595026</v>
      </c>
    </row>
    <row r="246" spans="1:9" x14ac:dyDescent="0.25">
      <c r="A246">
        <f>regression!A246</f>
        <v>2009</v>
      </c>
      <c r="B246">
        <f>regression!B246</f>
        <v>361</v>
      </c>
      <c r="C246" t="str">
        <f>regression!C246</f>
        <v>Tech</v>
      </c>
      <c r="D246" t="str">
        <f>regression!D246</f>
        <v>Sr. Sec.</v>
      </c>
      <c r="E246">
        <f>regression!E246</f>
        <v>4.4815081080794461E-2</v>
      </c>
      <c r="F246">
        <f>regression!F246</f>
        <v>0.78427238814233391</v>
      </c>
      <c r="G246">
        <f>regression!G246</f>
        <v>0.36450000000000005</v>
      </c>
      <c r="H246">
        <f>regression!H246</f>
        <v>1.1639999999999999</v>
      </c>
      <c r="I246">
        <f t="shared" si="4"/>
        <v>-2.1057352738248509</v>
      </c>
    </row>
    <row r="247" spans="1:9" x14ac:dyDescent="0.25">
      <c r="A247">
        <f>regression!A247</f>
        <v>2009</v>
      </c>
      <c r="B247">
        <f>regression!B247</f>
        <v>361</v>
      </c>
      <c r="C247" t="str">
        <f>regression!C247</f>
        <v>Tech</v>
      </c>
      <c r="D247" t="str">
        <f>regression!D247</f>
        <v>Sr. Sub.</v>
      </c>
      <c r="E247">
        <f>regression!E247</f>
        <v>9.389274293184291E-2</v>
      </c>
      <c r="F247">
        <f>regression!F247</f>
        <v>0.78427238814233391</v>
      </c>
      <c r="G247">
        <f>regression!G247</f>
        <v>0.70330000000000004</v>
      </c>
      <c r="H247">
        <f>regression!H247</f>
        <v>1.1639999999999999</v>
      </c>
      <c r="I247">
        <f t="shared" si="4"/>
        <v>-1.7384524725895369</v>
      </c>
    </row>
    <row r="248" spans="1:9" x14ac:dyDescent="0.25">
      <c r="A248">
        <f>regression!A248</f>
        <v>2009</v>
      </c>
      <c r="B248">
        <f>regression!B248</f>
        <v>362</v>
      </c>
      <c r="C248" t="str">
        <f>regression!C248</f>
        <v>Transp</v>
      </c>
      <c r="D248" t="str">
        <f>regression!D248</f>
        <v>Sr. Unsec.</v>
      </c>
      <c r="E248">
        <f>regression!E248</f>
        <v>0.88519041690826417</v>
      </c>
      <c r="F248">
        <f>regression!F248</f>
        <v>0.8602696664313787</v>
      </c>
      <c r="G248">
        <f>regression!G248</f>
        <v>0.53820000000000001</v>
      </c>
      <c r="H248">
        <f>regression!H248</f>
        <v>2.9630000000000001</v>
      </c>
      <c r="I248">
        <f t="shared" si="4"/>
        <v>0.54484205935887031</v>
      </c>
    </row>
    <row r="249" spans="1:9" x14ac:dyDescent="0.25">
      <c r="A249">
        <f>regression!A249</f>
        <v>2009</v>
      </c>
      <c r="B249">
        <f>regression!B249</f>
        <v>363</v>
      </c>
      <c r="C249" t="str">
        <f>regression!C249</f>
        <v>Retail</v>
      </c>
      <c r="D249" t="str">
        <f>regression!D249</f>
        <v>Sr. Unsec.</v>
      </c>
      <c r="E249">
        <f>regression!E249</f>
        <v>0.34757492375373833</v>
      </c>
      <c r="F249">
        <f>regression!F249</f>
        <v>0.7078579789902919</v>
      </c>
      <c r="G249">
        <f>regression!G249</f>
        <v>0.53820000000000001</v>
      </c>
      <c r="H249">
        <f>regression!H249</f>
        <v>2.2469999999999999</v>
      </c>
      <c r="I249">
        <f t="shared" si="4"/>
        <v>-0.87007822994943296</v>
      </c>
    </row>
    <row r="250" spans="1:9" x14ac:dyDescent="0.25">
      <c r="A250">
        <f>regression!A250</f>
        <v>2009</v>
      </c>
      <c r="B250">
        <f>regression!B250</f>
        <v>363</v>
      </c>
      <c r="C250" t="str">
        <f>regression!C250</f>
        <v>Retail</v>
      </c>
      <c r="D250" t="str">
        <f>regression!D250</f>
        <v>Sr. Sub.</v>
      </c>
      <c r="E250">
        <f>regression!E250</f>
        <v>0.86661755257844919</v>
      </c>
      <c r="F250">
        <f>regression!F250</f>
        <v>0.7078579789902919</v>
      </c>
      <c r="G250">
        <f>regression!G250</f>
        <v>0.70330000000000004</v>
      </c>
      <c r="H250">
        <f>regression!H250</f>
        <v>2.2469999999999999</v>
      </c>
      <c r="I250">
        <f t="shared" si="4"/>
        <v>0.46660112368787743</v>
      </c>
    </row>
    <row r="251" spans="1:9" x14ac:dyDescent="0.25">
      <c r="A251">
        <f>regression!A251</f>
        <v>2009</v>
      </c>
      <c r="B251">
        <f>regression!B251</f>
        <v>364</v>
      </c>
      <c r="C251" t="str">
        <f>regression!C251</f>
        <v>Cons G</v>
      </c>
      <c r="D251" t="str">
        <f>regression!D251</f>
        <v>Sr. Unsec.</v>
      </c>
      <c r="E251">
        <f>regression!E251</f>
        <v>0.94011936599195001</v>
      </c>
      <c r="F251">
        <f>regression!F251</f>
        <v>0.57186613101325878</v>
      </c>
      <c r="G251">
        <f>regression!G251</f>
        <v>0.53820000000000001</v>
      </c>
      <c r="H251">
        <f>regression!H251</f>
        <v>3.7829999999999999</v>
      </c>
      <c r="I251">
        <f t="shared" si="4"/>
        <v>0.84790014475121589</v>
      </c>
    </row>
    <row r="252" spans="1:9" x14ac:dyDescent="0.25">
      <c r="A252">
        <f>regression!A252</f>
        <v>2009</v>
      </c>
      <c r="B252">
        <f>regression!B252</f>
        <v>365</v>
      </c>
      <c r="C252" t="str">
        <f>regression!C252</f>
        <v>Cons G</v>
      </c>
      <c r="D252" t="str">
        <f>regression!D252</f>
        <v>Sr. Sub.</v>
      </c>
      <c r="E252">
        <f>regression!E252</f>
        <v>0.49475931880474089</v>
      </c>
      <c r="F252">
        <f>regression!F252</f>
        <v>0.38282746358703185</v>
      </c>
      <c r="G252">
        <f>regression!G252</f>
        <v>0.70330000000000004</v>
      </c>
      <c r="H252">
        <f>regression!H252</f>
        <v>3.7829999999999999</v>
      </c>
      <c r="I252">
        <f t="shared" si="4"/>
        <v>-0.52503263838671455</v>
      </c>
    </row>
    <row r="253" spans="1:9" x14ac:dyDescent="0.25">
      <c r="A253">
        <f>regression!A253</f>
        <v>2009</v>
      </c>
      <c r="B253">
        <f>regression!B253</f>
        <v>367</v>
      </c>
      <c r="C253" t="str">
        <f>regression!C253</f>
        <v>Tech</v>
      </c>
      <c r="D253" t="str">
        <f>regression!D253</f>
        <v>Sr. Sec.</v>
      </c>
      <c r="E253">
        <f>regression!E253</f>
        <v>0.83732212998270983</v>
      </c>
      <c r="F253">
        <f>regression!F253</f>
        <v>0.27879191796414449</v>
      </c>
      <c r="G253">
        <f>regression!G253</f>
        <v>0.36450000000000005</v>
      </c>
      <c r="H253">
        <f>regression!H253</f>
        <v>1.1639999999999999</v>
      </c>
      <c r="I253">
        <f t="shared" si="4"/>
        <v>0.35669866035770209</v>
      </c>
    </row>
    <row r="254" spans="1:9" x14ac:dyDescent="0.25">
      <c r="A254">
        <f>regression!A254</f>
        <v>2009</v>
      </c>
      <c r="B254">
        <f>regression!B254</f>
        <v>371</v>
      </c>
      <c r="C254" t="str">
        <f>regression!C254</f>
        <v>Retail</v>
      </c>
      <c r="D254" t="str">
        <f>regression!D254</f>
        <v>Sr. Unsec.</v>
      </c>
      <c r="E254">
        <f>regression!E254</f>
        <v>0.78473769719898701</v>
      </c>
      <c r="F254">
        <f>regression!F254</f>
        <v>0.88912010439962941</v>
      </c>
      <c r="G254">
        <f>regression!G254</f>
        <v>0.53820000000000001</v>
      </c>
      <c r="H254">
        <f>regression!H254</f>
        <v>2.2469999999999999</v>
      </c>
      <c r="I254">
        <f t="shared" si="4"/>
        <v>0.18677537426317761</v>
      </c>
    </row>
    <row r="255" spans="1:9" x14ac:dyDescent="0.25">
      <c r="A255">
        <f>regression!A255</f>
        <v>2009</v>
      </c>
      <c r="B255">
        <f>regression!B255</f>
        <v>371</v>
      </c>
      <c r="C255" t="str">
        <f>regression!C255</f>
        <v>Retail</v>
      </c>
      <c r="D255" t="str">
        <f>regression!D255</f>
        <v>Sr. Sub.</v>
      </c>
      <c r="E255">
        <f>regression!E255</f>
        <v>0.94286120855808253</v>
      </c>
      <c r="F255">
        <f>regression!F255</f>
        <v>0.88912010439962941</v>
      </c>
      <c r="G255">
        <f>regression!G255</f>
        <v>0.70330000000000004</v>
      </c>
      <c r="H255">
        <f>regression!H255</f>
        <v>2.2469999999999999</v>
      </c>
      <c r="I255">
        <f t="shared" si="4"/>
        <v>0.8678486136850424</v>
      </c>
    </row>
    <row r="256" spans="1:9" x14ac:dyDescent="0.25">
      <c r="A256">
        <f>regression!A256</f>
        <v>2009</v>
      </c>
      <c r="B256">
        <f>regression!B256</f>
        <v>373</v>
      </c>
      <c r="C256" t="str">
        <f>regression!C256</f>
        <v>Transp</v>
      </c>
      <c r="D256" t="str">
        <f>regression!D256</f>
        <v>Sr. Unsec.</v>
      </c>
      <c r="E256">
        <f>regression!E256</f>
        <v>0.45680370292663586</v>
      </c>
      <c r="F256">
        <f>regression!F256</f>
        <v>0.43408230532687303</v>
      </c>
      <c r="G256">
        <f>regression!G256</f>
        <v>0.53820000000000001</v>
      </c>
      <c r="H256">
        <f>regression!H256</f>
        <v>2.9630000000000001</v>
      </c>
      <c r="I256">
        <f t="shared" si="4"/>
        <v>-0.61135376627095805</v>
      </c>
    </row>
    <row r="257" spans="1:9" x14ac:dyDescent="0.25">
      <c r="A257">
        <f>regression!A257</f>
        <v>2009</v>
      </c>
      <c r="B257">
        <f>regression!B257</f>
        <v>374</v>
      </c>
      <c r="C257" t="str">
        <f>regression!C257</f>
        <v>Retail</v>
      </c>
      <c r="D257" t="str">
        <f>regression!D257</f>
        <v>Sub.</v>
      </c>
      <c r="E257">
        <f>regression!E257</f>
        <v>0.98092117155790326</v>
      </c>
      <c r="F257">
        <f>regression!F257</f>
        <v>0.63373316103335098</v>
      </c>
      <c r="G257">
        <f>regression!G257</f>
        <v>0.71150000000000002</v>
      </c>
      <c r="H257">
        <f>regression!H257</f>
        <v>2.2469999999999999</v>
      </c>
      <c r="I257">
        <f t="shared" si="4"/>
        <v>1.2841882105483708</v>
      </c>
    </row>
    <row r="258" spans="1:9" x14ac:dyDescent="0.25">
      <c r="A258">
        <f>regression!A258</f>
        <v>2009</v>
      </c>
      <c r="B258">
        <f>regression!B258</f>
        <v>375</v>
      </c>
      <c r="C258" t="str">
        <f>regression!C258</f>
        <v>Media</v>
      </c>
      <c r="D258" t="str">
        <f>regression!D258</f>
        <v>Sub.</v>
      </c>
      <c r="E258">
        <f>regression!E258</f>
        <v>0.95201916438341139</v>
      </c>
      <c r="F258">
        <f>regression!F258</f>
        <v>0.72747476738196326</v>
      </c>
      <c r="G258">
        <f>regression!G258</f>
        <v>0.71150000000000002</v>
      </c>
      <c r="H258">
        <f>regression!H258</f>
        <v>4.1470000000000002</v>
      </c>
      <c r="I258">
        <f t="shared" si="4"/>
        <v>0.94036679841072457</v>
      </c>
    </row>
    <row r="259" spans="1:9" x14ac:dyDescent="0.25">
      <c r="A259">
        <f>regression!A259</f>
        <v>2009</v>
      </c>
      <c r="B259">
        <f>regression!B259</f>
        <v>376</v>
      </c>
      <c r="C259" t="str">
        <f>regression!C259</f>
        <v>Retail</v>
      </c>
      <c r="D259" t="str">
        <f>regression!D259</f>
        <v>Sr. Unsec.</v>
      </c>
      <c r="E259">
        <f>regression!E259</f>
        <v>0.22625576134324077</v>
      </c>
      <c r="F259">
        <f>regression!F259</f>
        <v>0.38796052863253327</v>
      </c>
      <c r="G259">
        <f>regression!G259</f>
        <v>0.53820000000000001</v>
      </c>
      <c r="H259">
        <f>regression!H259</f>
        <v>2.2469999999999999</v>
      </c>
      <c r="I259">
        <f t="shared" ref="I259:I318" si="5">NORMSINV(BETADIST(E259,L$14,L$15))</f>
        <v>-1.2029886932500611</v>
      </c>
    </row>
    <row r="260" spans="1:9" x14ac:dyDescent="0.25">
      <c r="A260">
        <f>regression!A260</f>
        <v>2009</v>
      </c>
      <c r="B260">
        <f>regression!B260</f>
        <v>377</v>
      </c>
      <c r="C260" t="str">
        <f>regression!C260</f>
        <v>Tech</v>
      </c>
      <c r="D260" t="str">
        <f>regression!D260</f>
        <v>Sr. Sub.</v>
      </c>
      <c r="E260">
        <f>regression!E260</f>
        <v>0.96573652245521546</v>
      </c>
      <c r="F260">
        <f>regression!F260</f>
        <v>0.51099417420659754</v>
      </c>
      <c r="G260">
        <f>regression!G260</f>
        <v>0.70330000000000004</v>
      </c>
      <c r="H260">
        <f>regression!H260</f>
        <v>1.1639999999999999</v>
      </c>
      <c r="I260">
        <f t="shared" si="5"/>
        <v>1.0728352842382982</v>
      </c>
    </row>
    <row r="261" spans="1:9" x14ac:dyDescent="0.25">
      <c r="A261">
        <f>regression!A261</f>
        <v>2009</v>
      </c>
      <c r="B261">
        <f>regression!B261</f>
        <v>378</v>
      </c>
      <c r="C261" t="str">
        <f>regression!C261</f>
        <v>Transp</v>
      </c>
      <c r="D261" t="str">
        <f>regression!D261</f>
        <v>Sr. Unsec.</v>
      </c>
      <c r="E261">
        <f>regression!E261</f>
        <v>0.60189073845267305</v>
      </c>
      <c r="F261">
        <f>regression!F261</f>
        <v>0.2635472241507642</v>
      </c>
      <c r="G261">
        <f>regression!G261</f>
        <v>0.53820000000000001</v>
      </c>
      <c r="H261">
        <f>regression!H261</f>
        <v>2.9630000000000001</v>
      </c>
      <c r="I261">
        <f t="shared" si="5"/>
        <v>-0.2813139448715038</v>
      </c>
    </row>
    <row r="262" spans="1:9" x14ac:dyDescent="0.25">
      <c r="A262">
        <f>regression!A262</f>
        <v>2009</v>
      </c>
      <c r="B262">
        <f>regression!B262</f>
        <v>379</v>
      </c>
      <c r="C262" t="str">
        <f>regression!C262</f>
        <v>Retail</v>
      </c>
      <c r="D262" t="str">
        <f>regression!D262</f>
        <v>Sub.</v>
      </c>
      <c r="E262">
        <f>regression!E262</f>
        <v>0.12357387948870657</v>
      </c>
      <c r="F262">
        <f>regression!F262</f>
        <v>0.65727629181247493</v>
      </c>
      <c r="G262">
        <f>regression!G262</f>
        <v>0.71150000000000002</v>
      </c>
      <c r="H262">
        <f>regression!H262</f>
        <v>2.2469999999999999</v>
      </c>
      <c r="I262">
        <f t="shared" si="5"/>
        <v>-1.5858165392365871</v>
      </c>
    </row>
    <row r="263" spans="1:9" x14ac:dyDescent="0.25">
      <c r="A263">
        <f>regression!A263</f>
        <v>2009</v>
      </c>
      <c r="B263">
        <f>regression!B263</f>
        <v>380</v>
      </c>
      <c r="C263" t="str">
        <f>regression!C263</f>
        <v>Cons G</v>
      </c>
      <c r="D263" t="str">
        <f>regression!D263</f>
        <v>Sr. Unsec.</v>
      </c>
      <c r="E263">
        <f>regression!E263</f>
        <v>0.32080336864948278</v>
      </c>
      <c r="F263">
        <f>regression!F263</f>
        <v>0.66162113579716153</v>
      </c>
      <c r="G263">
        <f>regression!G263</f>
        <v>0.53820000000000001</v>
      </c>
      <c r="H263">
        <f>regression!H263</f>
        <v>3.7829999999999999</v>
      </c>
      <c r="I263">
        <f t="shared" si="5"/>
        <v>-0.9377961391169658</v>
      </c>
    </row>
    <row r="264" spans="1:9" x14ac:dyDescent="0.25">
      <c r="A264">
        <f>regression!A264</f>
        <v>2009</v>
      </c>
      <c r="B264">
        <f>regression!B264</f>
        <v>380</v>
      </c>
      <c r="C264" t="str">
        <f>regression!C264</f>
        <v>Cons G</v>
      </c>
      <c r="D264" t="str">
        <f>regression!D264</f>
        <v>Sub.</v>
      </c>
      <c r="E264">
        <f>regression!E264</f>
        <v>0.73831400333344932</v>
      </c>
      <c r="F264">
        <f>regression!F264</f>
        <v>0.66162113579716153</v>
      </c>
      <c r="G264">
        <f>regression!G264</f>
        <v>0.71150000000000002</v>
      </c>
      <c r="H264">
        <f>regression!H264</f>
        <v>3.7829999999999999</v>
      </c>
      <c r="I264">
        <f t="shared" si="5"/>
        <v>5.5209228383992517E-2</v>
      </c>
    </row>
    <row r="265" spans="1:9" x14ac:dyDescent="0.25">
      <c r="A265">
        <f>regression!A265</f>
        <v>2009</v>
      </c>
      <c r="B265">
        <f>regression!B265</f>
        <v>383</v>
      </c>
      <c r="C265" t="str">
        <f>regression!C265</f>
        <v>Tech</v>
      </c>
      <c r="D265" t="str">
        <f>regression!D265</f>
        <v>Sr. Unsec.</v>
      </c>
      <c r="E265">
        <f>regression!E265</f>
        <v>0.51683621197223673</v>
      </c>
      <c r="F265">
        <f>regression!F265</f>
        <v>0.29443248187978632</v>
      </c>
      <c r="G265">
        <f>regression!G265</f>
        <v>0.53820000000000001</v>
      </c>
      <c r="H265">
        <f>regression!H265</f>
        <v>1.1639999999999999</v>
      </c>
      <c r="I265">
        <f t="shared" si="5"/>
        <v>-0.47508987163309968</v>
      </c>
    </row>
    <row r="266" spans="1:9" x14ac:dyDescent="0.25">
      <c r="A266">
        <f>regression!A266</f>
        <v>2009</v>
      </c>
      <c r="B266">
        <f>regression!B266</f>
        <v>384</v>
      </c>
      <c r="C266" t="str">
        <f>regression!C266</f>
        <v>Cap Ind</v>
      </c>
      <c r="D266" t="str">
        <f>regression!D266</f>
        <v>Sr. Unsec.</v>
      </c>
      <c r="E266">
        <f>regression!E266</f>
        <v>0.64276520416140559</v>
      </c>
      <c r="F266">
        <f>regression!F266</f>
        <v>0.74933162634638362</v>
      </c>
      <c r="G266">
        <f>regression!G266</f>
        <v>0.53820000000000001</v>
      </c>
      <c r="H266">
        <f>regression!H266</f>
        <v>3.0710000000000002</v>
      </c>
      <c r="I266">
        <f t="shared" si="5"/>
        <v>-0.18544903652153968</v>
      </c>
    </row>
    <row r="267" spans="1:9" x14ac:dyDescent="0.25">
      <c r="A267">
        <f>regression!A267</f>
        <v>2009</v>
      </c>
      <c r="B267">
        <f>regression!B267</f>
        <v>386</v>
      </c>
      <c r="C267" t="str">
        <f>regression!C267</f>
        <v>Retail</v>
      </c>
      <c r="D267" t="str">
        <f>regression!D267</f>
        <v>Sr. Unsec.</v>
      </c>
      <c r="E267">
        <f>regression!E267</f>
        <v>0.90086044161319734</v>
      </c>
      <c r="F267">
        <f>regression!F267</f>
        <v>0.2157220223224087</v>
      </c>
      <c r="G267">
        <f>regression!G267</f>
        <v>0.53820000000000001</v>
      </c>
      <c r="H267">
        <f>regression!H267</f>
        <v>2.2469999999999999</v>
      </c>
      <c r="I267">
        <f t="shared" si="5"/>
        <v>0.61796895942314556</v>
      </c>
    </row>
    <row r="268" spans="1:9" x14ac:dyDescent="0.25">
      <c r="A268">
        <f>regression!A268</f>
        <v>2009</v>
      </c>
      <c r="B268">
        <f>regression!B268</f>
        <v>387</v>
      </c>
      <c r="C268" t="str">
        <f>regression!C268</f>
        <v>Tech</v>
      </c>
      <c r="D268" t="str">
        <f>regression!D268</f>
        <v>Sr. Unsec.</v>
      </c>
      <c r="E268">
        <f>regression!E268</f>
        <v>0.99</v>
      </c>
      <c r="F268">
        <f>regression!F268</f>
        <v>0.70400566630307149</v>
      </c>
      <c r="G268">
        <f>regression!G268</f>
        <v>0.53820000000000001</v>
      </c>
      <c r="H268">
        <f>regression!H268</f>
        <v>1.1639999999999999</v>
      </c>
      <c r="I268">
        <f t="shared" si="5"/>
        <v>1.4954060676963419</v>
      </c>
    </row>
    <row r="269" spans="1:9" x14ac:dyDescent="0.25">
      <c r="A269">
        <f>regression!A269</f>
        <v>2009</v>
      </c>
      <c r="B269">
        <f>regression!B269</f>
        <v>389</v>
      </c>
      <c r="C269" t="str">
        <f>regression!C269</f>
        <v>Cons G</v>
      </c>
      <c r="D269" t="str">
        <f>regression!D269</f>
        <v>Sr. Unsec.</v>
      </c>
      <c r="E269">
        <f>regression!E269</f>
        <v>0.97801503514111043</v>
      </c>
      <c r="F269">
        <f>regression!F269</f>
        <v>0.41033124213439331</v>
      </c>
      <c r="G269">
        <f>regression!G269</f>
        <v>0.53820000000000001</v>
      </c>
      <c r="H269">
        <f>regression!H269</f>
        <v>3.7829999999999999</v>
      </c>
      <c r="I269">
        <f t="shared" si="5"/>
        <v>1.234951034882795</v>
      </c>
    </row>
    <row r="270" spans="1:9" x14ac:dyDescent="0.25">
      <c r="A270">
        <f>regression!A270</f>
        <v>2009</v>
      </c>
      <c r="B270">
        <f>regression!B270</f>
        <v>390</v>
      </c>
      <c r="C270" t="str">
        <f>regression!C270</f>
        <v>Tech</v>
      </c>
      <c r="D270" t="str">
        <f>regression!D270</f>
        <v>Sr. Unsec.</v>
      </c>
      <c r="E270">
        <f>regression!E270</f>
        <v>0.42209384719431409</v>
      </c>
      <c r="F270">
        <f>regression!F270</f>
        <v>0.31096274236329674</v>
      </c>
      <c r="G270">
        <f>regression!G270</f>
        <v>0.53820000000000001</v>
      </c>
      <c r="H270">
        <f>regression!H270</f>
        <v>1.1639999999999999</v>
      </c>
      <c r="I270">
        <f t="shared" si="5"/>
        <v>-0.69138922480119802</v>
      </c>
    </row>
    <row r="271" spans="1:9" x14ac:dyDescent="0.25">
      <c r="A271">
        <f>regression!A271</f>
        <v>2009</v>
      </c>
      <c r="B271">
        <f>regression!B271</f>
        <v>390</v>
      </c>
      <c r="C271" t="str">
        <f>regression!C271</f>
        <v>Tech</v>
      </c>
      <c r="D271" t="str">
        <f>regression!D271</f>
        <v>Sr. Sub.</v>
      </c>
      <c r="E271">
        <f>regression!E271</f>
        <v>0.53694779936671266</v>
      </c>
      <c r="F271">
        <f>regression!F271</f>
        <v>0.31096274236329674</v>
      </c>
      <c r="G271">
        <f>regression!G271</f>
        <v>0.70330000000000004</v>
      </c>
      <c r="H271">
        <f>regression!H271</f>
        <v>1.1639999999999999</v>
      </c>
      <c r="I271">
        <f t="shared" si="5"/>
        <v>-0.42960051316368153</v>
      </c>
    </row>
    <row r="272" spans="1:9" x14ac:dyDescent="0.25">
      <c r="A272">
        <f>regression!A272</f>
        <v>2009</v>
      </c>
      <c r="B272">
        <f>regression!B272</f>
        <v>391</v>
      </c>
      <c r="C272" t="str">
        <f>regression!C272</f>
        <v>Transp</v>
      </c>
      <c r="D272" t="str">
        <f>regression!D272</f>
        <v>Sr. Unsec.</v>
      </c>
      <c r="E272">
        <f>regression!E272</f>
        <v>0.13689371609687806</v>
      </c>
      <c r="F272">
        <f>regression!F272</f>
        <v>0.28673200557218081</v>
      </c>
      <c r="G272">
        <f>regression!G272</f>
        <v>0.53820000000000001</v>
      </c>
      <c r="H272">
        <f>regression!H272</f>
        <v>2.9630000000000001</v>
      </c>
      <c r="I272">
        <f t="shared" si="5"/>
        <v>-1.5260323699470217</v>
      </c>
    </row>
    <row r="273" spans="1:9" x14ac:dyDescent="0.25">
      <c r="A273">
        <f>regression!A273</f>
        <v>2009</v>
      </c>
      <c r="B273">
        <f>regression!B273</f>
        <v>392</v>
      </c>
      <c r="C273" t="str">
        <f>regression!C273</f>
        <v>Media</v>
      </c>
      <c r="D273" t="str">
        <f>regression!D273</f>
        <v>Sr. Unsec.</v>
      </c>
      <c r="E273">
        <f>regression!E273</f>
        <v>0.11106657668948172</v>
      </c>
      <c r="F273">
        <f>regression!F273</f>
        <v>9.9664482237793034E-2</v>
      </c>
      <c r="G273">
        <f>regression!G273</f>
        <v>0.53820000000000001</v>
      </c>
      <c r="H273">
        <f>regression!H273</f>
        <v>4.1470000000000002</v>
      </c>
      <c r="I273">
        <f t="shared" si="5"/>
        <v>-1.6463872072868206</v>
      </c>
    </row>
    <row r="274" spans="1:9" x14ac:dyDescent="0.25">
      <c r="A274">
        <f>regression!A274</f>
        <v>2009</v>
      </c>
      <c r="B274">
        <f>regression!B274</f>
        <v>394</v>
      </c>
      <c r="C274" t="str">
        <f>regression!C274</f>
        <v>Retail</v>
      </c>
      <c r="D274" t="str">
        <f>regression!D274</f>
        <v>Sr. Unsec.</v>
      </c>
      <c r="E274">
        <f>regression!E274</f>
        <v>0.39909116290807733</v>
      </c>
      <c r="F274">
        <f>regression!F274</f>
        <v>9.678995646694917E-2</v>
      </c>
      <c r="G274">
        <f>regression!G274</f>
        <v>0.53820000000000001</v>
      </c>
      <c r="H274">
        <f>regression!H274</f>
        <v>2.2469999999999999</v>
      </c>
      <c r="I274">
        <f t="shared" si="5"/>
        <v>-0.74534183393824927</v>
      </c>
    </row>
    <row r="275" spans="1:9" x14ac:dyDescent="0.25">
      <c r="A275">
        <f>regression!A275</f>
        <v>2009</v>
      </c>
      <c r="B275">
        <f>regression!B275</f>
        <v>395</v>
      </c>
      <c r="C275" t="str">
        <f>regression!C275</f>
        <v>Tech</v>
      </c>
      <c r="D275" t="str">
        <f>regression!D275</f>
        <v>Sr. Unsec.</v>
      </c>
      <c r="E275">
        <f>regression!E275</f>
        <v>0.4598123176884652</v>
      </c>
      <c r="F275">
        <f>regression!F275</f>
        <v>0.54032434139996532</v>
      </c>
      <c r="G275">
        <f>regression!G275</f>
        <v>0.53820000000000001</v>
      </c>
      <c r="H275">
        <f>regression!H275</f>
        <v>1.1639999999999999</v>
      </c>
      <c r="I275">
        <f t="shared" si="5"/>
        <v>-0.60447572278263695</v>
      </c>
    </row>
    <row r="276" spans="1:9" x14ac:dyDescent="0.25">
      <c r="A276">
        <f>regression!A276</f>
        <v>2009</v>
      </c>
      <c r="B276">
        <f>regression!B276</f>
        <v>397</v>
      </c>
      <c r="C276" t="str">
        <f>regression!C276</f>
        <v>Retail</v>
      </c>
      <c r="D276" t="str">
        <f>regression!D276</f>
        <v>Sr. Unsec.</v>
      </c>
      <c r="E276">
        <f>regression!E276</f>
        <v>0.17569727358818066</v>
      </c>
      <c r="F276">
        <f>regression!F276</f>
        <v>0.36620354009352379</v>
      </c>
      <c r="G276">
        <f>regression!G276</f>
        <v>0.53820000000000001</v>
      </c>
      <c r="H276">
        <f>regression!H276</f>
        <v>2.2469999999999999</v>
      </c>
      <c r="I276">
        <f t="shared" si="5"/>
        <v>-1.3724277864673817</v>
      </c>
    </row>
    <row r="277" spans="1:9" x14ac:dyDescent="0.25">
      <c r="A277">
        <f>regression!A277</f>
        <v>2009</v>
      </c>
      <c r="B277">
        <f>regression!B277</f>
        <v>398</v>
      </c>
      <c r="C277" t="str">
        <f>regression!C277</f>
        <v>Media</v>
      </c>
      <c r="D277" t="str">
        <f>regression!D277</f>
        <v>Sr. Unsec.</v>
      </c>
      <c r="E277">
        <f>regression!E277</f>
        <v>0.14688390462696554</v>
      </c>
      <c r="F277">
        <f>regression!F277</f>
        <v>0.37882085751779726</v>
      </c>
      <c r="G277">
        <f>regression!G277</f>
        <v>0.53820000000000001</v>
      </c>
      <c r="H277">
        <f>regression!H277</f>
        <v>4.1470000000000002</v>
      </c>
      <c r="I277">
        <f t="shared" si="5"/>
        <v>-1.4838636090558177</v>
      </c>
    </row>
    <row r="278" spans="1:9" x14ac:dyDescent="0.25">
      <c r="A278">
        <f>regression!A278</f>
        <v>2009</v>
      </c>
      <c r="B278">
        <f>regression!B278</f>
        <v>399</v>
      </c>
      <c r="C278" t="str">
        <f>regression!C278</f>
        <v>Retail</v>
      </c>
      <c r="D278" t="str">
        <f>regression!D278</f>
        <v>Sr. Sec.</v>
      </c>
      <c r="E278">
        <f>regression!E278</f>
        <v>0.91377030686140059</v>
      </c>
      <c r="F278">
        <f>regression!F278</f>
        <v>0.24209187537345095</v>
      </c>
      <c r="G278">
        <f>regression!G278</f>
        <v>0.36450000000000005</v>
      </c>
      <c r="H278">
        <f>regression!H278</f>
        <v>2.2469999999999999</v>
      </c>
      <c r="I278">
        <f t="shared" si="5"/>
        <v>0.68467277537949645</v>
      </c>
    </row>
    <row r="279" spans="1:9" x14ac:dyDescent="0.25">
      <c r="A279">
        <f>regression!A279</f>
        <v>2009</v>
      </c>
      <c r="B279">
        <f>regression!B279</f>
        <v>400</v>
      </c>
      <c r="C279" t="str">
        <f>regression!C279</f>
        <v>Cons G</v>
      </c>
      <c r="D279" t="str">
        <f>regression!D279</f>
        <v>Sr. Unsec.</v>
      </c>
      <c r="E279">
        <f>regression!E279</f>
        <v>0.98947122612416749</v>
      </c>
      <c r="F279">
        <f>regression!F279</f>
        <v>0.72362715072366335</v>
      </c>
      <c r="G279">
        <f>regression!G279</f>
        <v>0.53820000000000001</v>
      </c>
      <c r="H279">
        <f>regression!H279</f>
        <v>3.7829999999999999</v>
      </c>
      <c r="I279">
        <f t="shared" si="5"/>
        <v>1.4792725545124301</v>
      </c>
    </row>
    <row r="280" spans="1:9" x14ac:dyDescent="0.25">
      <c r="A280">
        <f>regression!A280</f>
        <v>2009</v>
      </c>
      <c r="B280">
        <f>regression!B280</f>
        <v>401</v>
      </c>
      <c r="C280" t="str">
        <f>regression!C280</f>
        <v>Transp</v>
      </c>
      <c r="D280" t="str">
        <f>regression!D280</f>
        <v>Sr. Unsec.</v>
      </c>
      <c r="E280">
        <f>regression!E280</f>
        <v>0.90675463732719419</v>
      </c>
      <c r="F280">
        <f>regression!F280</f>
        <v>0.37327743147361359</v>
      </c>
      <c r="G280">
        <f>regression!G280</f>
        <v>0.53820000000000001</v>
      </c>
      <c r="H280">
        <f>regression!H280</f>
        <v>2.9630000000000001</v>
      </c>
      <c r="I280">
        <f t="shared" si="5"/>
        <v>0.64759566025834547</v>
      </c>
    </row>
    <row r="281" spans="1:9" x14ac:dyDescent="0.25">
      <c r="A281">
        <f>regression!A281</f>
        <v>2009</v>
      </c>
      <c r="B281">
        <f>regression!B281</f>
        <v>403</v>
      </c>
      <c r="C281" t="str">
        <f>regression!C281</f>
        <v>Cons G</v>
      </c>
      <c r="D281" t="str">
        <f>regression!D281</f>
        <v>Sr. Unsec.</v>
      </c>
      <c r="E281">
        <f>regression!E281</f>
        <v>0.45253682114183913</v>
      </c>
      <c r="F281">
        <f>regression!F281</f>
        <v>0.36976482851212733</v>
      </c>
      <c r="G281">
        <f>regression!G281</f>
        <v>0.53820000000000001</v>
      </c>
      <c r="H281">
        <f>regression!H281</f>
        <v>3.7829999999999999</v>
      </c>
      <c r="I281">
        <f t="shared" si="5"/>
        <v>-0.62112214095761398</v>
      </c>
    </row>
    <row r="282" spans="1:9" x14ac:dyDescent="0.25">
      <c r="A282">
        <f>regression!A282</f>
        <v>2009</v>
      </c>
      <c r="B282">
        <f>regression!B282</f>
        <v>404</v>
      </c>
      <c r="C282" t="str">
        <f>regression!C282</f>
        <v>Cons G</v>
      </c>
      <c r="D282" t="str">
        <f>regression!D282</f>
        <v>Sr. Unsec.</v>
      </c>
      <c r="E282">
        <f>regression!E282</f>
        <v>0.79086454966783526</v>
      </c>
      <c r="F282">
        <f>regression!F282</f>
        <v>0.51479124073544247</v>
      </c>
      <c r="G282">
        <f>regression!G282</f>
        <v>0.53820000000000001</v>
      </c>
      <c r="H282">
        <f>regression!H282</f>
        <v>3.7829999999999999</v>
      </c>
      <c r="I282">
        <f t="shared" si="5"/>
        <v>0.20522967925105917</v>
      </c>
    </row>
    <row r="283" spans="1:9" x14ac:dyDescent="0.25">
      <c r="A283">
        <f>regression!A283</f>
        <v>2009</v>
      </c>
      <c r="B283">
        <f>regression!B283</f>
        <v>405</v>
      </c>
      <c r="C283" t="str">
        <f>regression!C283</f>
        <v>Media</v>
      </c>
      <c r="D283" t="str">
        <f>regression!D283</f>
        <v>Sr. Sec.</v>
      </c>
      <c r="E283">
        <f>regression!E283</f>
        <v>0.67414141379594805</v>
      </c>
      <c r="F283">
        <f>regression!F283</f>
        <v>0.25251668797765114</v>
      </c>
      <c r="G283">
        <f>regression!G283</f>
        <v>0.36450000000000005</v>
      </c>
      <c r="H283">
        <f>regression!H283</f>
        <v>4.1470000000000002</v>
      </c>
      <c r="I283">
        <f t="shared" si="5"/>
        <v>-0.10957682695402358</v>
      </c>
    </row>
    <row r="284" spans="1:9" x14ac:dyDescent="0.25">
      <c r="A284">
        <f>regression!A284</f>
        <v>2009</v>
      </c>
      <c r="B284">
        <f>regression!B284</f>
        <v>406</v>
      </c>
      <c r="C284" t="str">
        <f>regression!C284</f>
        <v>Media</v>
      </c>
      <c r="D284" t="str">
        <f>regression!D284</f>
        <v>Sr. Sub.</v>
      </c>
      <c r="E284">
        <f>regression!E284</f>
        <v>0.74862628505945206</v>
      </c>
      <c r="F284">
        <f>regression!F284</f>
        <v>0.93661450752239472</v>
      </c>
      <c r="G284">
        <f>regression!G284</f>
        <v>0.70330000000000004</v>
      </c>
      <c r="H284">
        <f>regression!H284</f>
        <v>4.1470000000000002</v>
      </c>
      <c r="I284">
        <f t="shared" si="5"/>
        <v>8.3331487919996158E-2</v>
      </c>
    </row>
    <row r="285" spans="1:9" x14ac:dyDescent="0.25">
      <c r="A285">
        <f>regression!A285</f>
        <v>2009</v>
      </c>
      <c r="B285">
        <f>regression!B285</f>
        <v>407</v>
      </c>
      <c r="C285" t="str">
        <f>regression!C285</f>
        <v>Media</v>
      </c>
      <c r="D285" t="str">
        <f>regression!D285</f>
        <v>Sr. Sub.</v>
      </c>
      <c r="E285">
        <f>regression!E285</f>
        <v>0.89202999738395217</v>
      </c>
      <c r="F285">
        <f>regression!F285</f>
        <v>0.38679686313942307</v>
      </c>
      <c r="G285">
        <f>regression!G285</f>
        <v>0.70330000000000004</v>
      </c>
      <c r="H285">
        <f>regression!H285</f>
        <v>4.1470000000000002</v>
      </c>
      <c r="I285">
        <f t="shared" si="5"/>
        <v>0.57584118420456853</v>
      </c>
    </row>
    <row r="286" spans="1:9" x14ac:dyDescent="0.25">
      <c r="A286">
        <f>regression!A286</f>
        <v>2009</v>
      </c>
      <c r="B286">
        <f>regression!B286</f>
        <v>410</v>
      </c>
      <c r="C286" t="str">
        <f>regression!C286</f>
        <v>Retail</v>
      </c>
      <c r="D286" t="str">
        <f>regression!D286</f>
        <v>Sr. Unsec.</v>
      </c>
      <c r="E286">
        <f>regression!E286</f>
        <v>0.79821458527684208</v>
      </c>
      <c r="F286">
        <f>regression!F286</f>
        <v>0.53537654777010557</v>
      </c>
      <c r="G286">
        <f>regression!G286</f>
        <v>0.53820000000000001</v>
      </c>
      <c r="H286">
        <f>regression!H286</f>
        <v>2.2469999999999999</v>
      </c>
      <c r="I286">
        <f t="shared" si="5"/>
        <v>0.22777317577929088</v>
      </c>
    </row>
    <row r="287" spans="1:9" x14ac:dyDescent="0.25">
      <c r="A287">
        <f>regression!A287</f>
        <v>2009</v>
      </c>
      <c r="B287">
        <f>regression!B287</f>
        <v>411</v>
      </c>
      <c r="C287" t="str">
        <f>regression!C287</f>
        <v>Transp</v>
      </c>
      <c r="D287" t="str">
        <f>regression!D287</f>
        <v>Sr. Unsec.</v>
      </c>
      <c r="E287">
        <f>regression!E287</f>
        <v>0.70047562533318997</v>
      </c>
      <c r="F287">
        <f>regression!F287</f>
        <v>0.78914397449979667</v>
      </c>
      <c r="G287">
        <f>regression!G287</f>
        <v>0.53820000000000001</v>
      </c>
      <c r="H287">
        <f>regression!H287</f>
        <v>2.9630000000000001</v>
      </c>
      <c r="I287">
        <f t="shared" si="5"/>
        <v>-4.3794545388397797E-2</v>
      </c>
    </row>
    <row r="288" spans="1:9" x14ac:dyDescent="0.25">
      <c r="A288">
        <f>regression!A288</f>
        <v>2009</v>
      </c>
      <c r="B288">
        <f>regression!B288</f>
        <v>412</v>
      </c>
      <c r="C288" t="str">
        <f>regression!C288</f>
        <v>Cap Ind</v>
      </c>
      <c r="D288" t="str">
        <f>regression!D288</f>
        <v>Sub.</v>
      </c>
      <c r="E288">
        <f>regression!E288</f>
        <v>0.82939570184707645</v>
      </c>
      <c r="F288">
        <f>regression!F288</f>
        <v>0.24369102342038579</v>
      </c>
      <c r="G288">
        <f>regression!G288</f>
        <v>0.71150000000000002</v>
      </c>
      <c r="H288">
        <f>regression!H288</f>
        <v>3.0710000000000002</v>
      </c>
      <c r="I288">
        <f t="shared" si="5"/>
        <v>0.32916451736094626</v>
      </c>
    </row>
    <row r="289" spans="1:9" x14ac:dyDescent="0.25">
      <c r="A289">
        <f>regression!A289</f>
        <v>2009</v>
      </c>
      <c r="B289">
        <f>regression!B289</f>
        <v>413</v>
      </c>
      <c r="C289" t="str">
        <f>regression!C289</f>
        <v>Media</v>
      </c>
      <c r="D289" t="str">
        <f>regression!D289</f>
        <v>Sr. Unsec.</v>
      </c>
      <c r="E289">
        <f>regression!E289</f>
        <v>0.93302867408394818</v>
      </c>
      <c r="F289">
        <f>regression!F289</f>
        <v>0.54617077839772732</v>
      </c>
      <c r="G289">
        <f>regression!G289</f>
        <v>0.53820000000000001</v>
      </c>
      <c r="H289">
        <f>regression!H289</f>
        <v>4.1470000000000002</v>
      </c>
      <c r="I289">
        <f t="shared" si="5"/>
        <v>0.79937077261119527</v>
      </c>
    </row>
    <row r="290" spans="1:9" x14ac:dyDescent="0.25">
      <c r="A290">
        <f>regression!A290</f>
        <v>2009</v>
      </c>
      <c r="B290">
        <f>regression!B290</f>
        <v>414</v>
      </c>
      <c r="C290" t="str">
        <f>regression!C290</f>
        <v>Media</v>
      </c>
      <c r="D290" t="str">
        <f>regression!D290</f>
        <v>Sr. Unsec.</v>
      </c>
      <c r="E290">
        <f>regression!E290</f>
        <v>0.86114298671007161</v>
      </c>
      <c r="F290">
        <f>regression!F290</f>
        <v>0.42958320573077252</v>
      </c>
      <c r="G290">
        <f>regression!G290</f>
        <v>0.53820000000000001</v>
      </c>
      <c r="H290">
        <f>regression!H290</f>
        <v>4.1470000000000002</v>
      </c>
      <c r="I290">
        <f t="shared" si="5"/>
        <v>0.4449485123220458</v>
      </c>
    </row>
    <row r="291" spans="1:9" x14ac:dyDescent="0.25">
      <c r="A291">
        <f>regression!A291</f>
        <v>2009</v>
      </c>
      <c r="B291">
        <f>regression!B291</f>
        <v>415</v>
      </c>
      <c r="C291" t="str">
        <f>regression!C291</f>
        <v>Retail</v>
      </c>
      <c r="D291" t="str">
        <f>regression!D291</f>
        <v>Sr. Sub.</v>
      </c>
      <c r="E291">
        <f>regression!E291</f>
        <v>0.67394284448921682</v>
      </c>
      <c r="F291">
        <f>regression!F291</f>
        <v>0.5834591548917909</v>
      </c>
      <c r="G291">
        <f>regression!G291</f>
        <v>0.70330000000000004</v>
      </c>
      <c r="H291">
        <f>regression!H291</f>
        <v>2.2469999999999999</v>
      </c>
      <c r="I291">
        <f t="shared" si="5"/>
        <v>-0.11006485948121081</v>
      </c>
    </row>
    <row r="292" spans="1:9" x14ac:dyDescent="0.25">
      <c r="A292">
        <f>regression!A292</f>
        <v>2009</v>
      </c>
      <c r="B292">
        <f>regression!B292</f>
        <v>416</v>
      </c>
      <c r="C292" t="str">
        <f>regression!C292</f>
        <v>Retail</v>
      </c>
      <c r="D292" t="str">
        <f>regression!D292</f>
        <v>Sr. Sec.</v>
      </c>
      <c r="E292">
        <f>regression!E292</f>
        <v>0.90460531538724898</v>
      </c>
      <c r="F292">
        <f>regression!F292</f>
        <v>0.35115993600084372</v>
      </c>
      <c r="G292">
        <f>regression!G292</f>
        <v>0.36450000000000005</v>
      </c>
      <c r="H292">
        <f>regression!H292</f>
        <v>2.2469999999999999</v>
      </c>
      <c r="I292">
        <f t="shared" si="5"/>
        <v>0.63664097999325953</v>
      </c>
    </row>
    <row r="293" spans="1:9" x14ac:dyDescent="0.25">
      <c r="A293">
        <f>regression!A293</f>
        <v>2009</v>
      </c>
      <c r="B293">
        <f>regression!B293</f>
        <v>416</v>
      </c>
      <c r="C293" t="str">
        <f>regression!C293</f>
        <v>Retail</v>
      </c>
      <c r="D293" t="str">
        <f>regression!D293</f>
        <v>Sr. Sub.</v>
      </c>
      <c r="E293">
        <f>regression!E293</f>
        <v>0.97812757903814318</v>
      </c>
      <c r="F293">
        <f>regression!F293</f>
        <v>0.35115993600084372</v>
      </c>
      <c r="G293">
        <f>regression!G293</f>
        <v>0.70330000000000004</v>
      </c>
      <c r="H293">
        <f>regression!H293</f>
        <v>2.2469999999999999</v>
      </c>
      <c r="I293">
        <f t="shared" si="5"/>
        <v>1.2367535403384691</v>
      </c>
    </row>
    <row r="294" spans="1:9" x14ac:dyDescent="0.25">
      <c r="A294">
        <f>regression!A294</f>
        <v>2009</v>
      </c>
      <c r="B294">
        <f>regression!B294</f>
        <v>417</v>
      </c>
      <c r="C294" t="str">
        <f>regression!C294</f>
        <v>Transp</v>
      </c>
      <c r="D294" t="str">
        <f>regression!D294</f>
        <v>Sr. Sub.</v>
      </c>
      <c r="E294">
        <f>regression!E294</f>
        <v>0.66493259435892105</v>
      </c>
      <c r="F294">
        <f>regression!F294</f>
        <v>0.81180396797977517</v>
      </c>
      <c r="G294">
        <f>regression!G294</f>
        <v>0.70330000000000004</v>
      </c>
      <c r="H294">
        <f>regression!H294</f>
        <v>2.9630000000000001</v>
      </c>
      <c r="I294">
        <f t="shared" si="5"/>
        <v>-0.13209699385164539</v>
      </c>
    </row>
    <row r="295" spans="1:9" x14ac:dyDescent="0.25">
      <c r="A295">
        <f>regression!A295</f>
        <v>2009</v>
      </c>
      <c r="B295">
        <f>regression!B295</f>
        <v>420</v>
      </c>
      <c r="C295" t="str">
        <f>regression!C295</f>
        <v>Cons G</v>
      </c>
      <c r="D295" t="str">
        <f>regression!D295</f>
        <v>Sr. Sub.</v>
      </c>
      <c r="E295">
        <f>regression!E295</f>
        <v>0.72005828959703444</v>
      </c>
      <c r="F295">
        <f>regression!F295</f>
        <v>0.57924094749792743</v>
      </c>
      <c r="G295">
        <f>regression!G295</f>
        <v>0.70330000000000004</v>
      </c>
      <c r="H295">
        <f>regression!H295</f>
        <v>3.7829999999999999</v>
      </c>
      <c r="I295">
        <f t="shared" si="5"/>
        <v>6.6904426661860156E-3</v>
      </c>
    </row>
    <row r="296" spans="1:9" x14ac:dyDescent="0.25">
      <c r="A296">
        <f>regression!A296</f>
        <v>2009</v>
      </c>
      <c r="B296">
        <f>regression!B296</f>
        <v>421</v>
      </c>
      <c r="C296" t="str">
        <f>regression!C296</f>
        <v>Energy</v>
      </c>
      <c r="D296" t="str">
        <f>regression!D296</f>
        <v>Sr. Unsec.</v>
      </c>
      <c r="E296">
        <f>regression!E296</f>
        <v>0.39594857270240791</v>
      </c>
      <c r="F296">
        <f>regression!F296</f>
        <v>0.23510426518982808</v>
      </c>
      <c r="G296">
        <f>regression!G296</f>
        <v>0.53820000000000001</v>
      </c>
      <c r="H296">
        <f>regression!H296</f>
        <v>1.835</v>
      </c>
      <c r="I296">
        <f t="shared" si="5"/>
        <v>-0.75278349712343129</v>
      </c>
    </row>
    <row r="297" spans="1:9" x14ac:dyDescent="0.25">
      <c r="A297">
        <f>regression!A297</f>
        <v>2009</v>
      </c>
      <c r="B297">
        <f>regression!B297</f>
        <v>422</v>
      </c>
      <c r="C297" t="str">
        <f>regression!C297</f>
        <v>Cons G</v>
      </c>
      <c r="D297" t="str">
        <f>regression!D297</f>
        <v>Sr. Sub.</v>
      </c>
      <c r="E297">
        <f>regression!E297</f>
        <v>0.97144811509847639</v>
      </c>
      <c r="F297">
        <f>regression!F297</f>
        <v>0.40272134639530943</v>
      </c>
      <c r="G297">
        <f>regression!G297</f>
        <v>0.70330000000000004</v>
      </c>
      <c r="H297">
        <f>regression!H297</f>
        <v>3.7829999999999999</v>
      </c>
      <c r="I297">
        <f t="shared" si="5"/>
        <v>1.1410267461890511</v>
      </c>
    </row>
    <row r="298" spans="1:9" x14ac:dyDescent="0.25">
      <c r="A298">
        <f>regression!A298</f>
        <v>2009</v>
      </c>
      <c r="B298">
        <f>regression!B298</f>
        <v>422</v>
      </c>
      <c r="C298" t="str">
        <f>regression!C298</f>
        <v>Cons G</v>
      </c>
      <c r="D298" t="str">
        <f>regression!D298</f>
        <v>Sub.</v>
      </c>
      <c r="E298">
        <f>regression!E298</f>
        <v>0.99</v>
      </c>
      <c r="F298">
        <f>regression!F298</f>
        <v>0.40272134639530943</v>
      </c>
      <c r="G298">
        <f>regression!G298</f>
        <v>0.71150000000000002</v>
      </c>
      <c r="H298">
        <f>regression!H298</f>
        <v>3.7829999999999999</v>
      </c>
      <c r="I298">
        <f t="shared" si="5"/>
        <v>1.4954060676963419</v>
      </c>
    </row>
    <row r="299" spans="1:9" x14ac:dyDescent="0.25">
      <c r="A299">
        <f>regression!A299</f>
        <v>2009</v>
      </c>
      <c r="B299">
        <f>regression!B299</f>
        <v>424</v>
      </c>
      <c r="C299" t="str">
        <f>regression!C299</f>
        <v>Tech</v>
      </c>
      <c r="D299" t="str">
        <f>regression!D299</f>
        <v>Sr. Sec.</v>
      </c>
      <c r="E299">
        <f>regression!E299</f>
        <v>0.32902808469533928</v>
      </c>
      <c r="F299">
        <f>regression!F299</f>
        <v>0.42056816169763911</v>
      </c>
      <c r="G299">
        <f>regression!G299</f>
        <v>0.36450000000000005</v>
      </c>
      <c r="H299">
        <f>regression!H299</f>
        <v>1.1639999999999999</v>
      </c>
      <c r="I299">
        <f t="shared" si="5"/>
        <v>-0.91673699630604133</v>
      </c>
    </row>
    <row r="300" spans="1:9" x14ac:dyDescent="0.25">
      <c r="A300">
        <f>regression!A300</f>
        <v>2009</v>
      </c>
      <c r="B300">
        <f>regression!B300</f>
        <v>425</v>
      </c>
      <c r="C300" t="str">
        <f>regression!C300</f>
        <v>Transp</v>
      </c>
      <c r="D300" t="str">
        <f>regression!D300</f>
        <v>Sr. Sub.</v>
      </c>
      <c r="E300">
        <f>regression!E300</f>
        <v>0.83681874606609341</v>
      </c>
      <c r="F300">
        <f>regression!F300</f>
        <v>0.45937742314148589</v>
      </c>
      <c r="G300">
        <f>regression!G300</f>
        <v>0.70330000000000004</v>
      </c>
      <c r="H300">
        <f>regression!H300</f>
        <v>2.9630000000000001</v>
      </c>
      <c r="I300">
        <f t="shared" si="5"/>
        <v>0.35492555195191694</v>
      </c>
    </row>
    <row r="301" spans="1:9" x14ac:dyDescent="0.25">
      <c r="A301">
        <f>regression!A301</f>
        <v>2009</v>
      </c>
      <c r="B301">
        <f>regression!B301</f>
        <v>426</v>
      </c>
      <c r="C301" t="str">
        <f>regression!C301</f>
        <v>Media</v>
      </c>
      <c r="D301" t="str">
        <f>regression!D301</f>
        <v>Sr. Sub.</v>
      </c>
      <c r="E301">
        <f>regression!E301</f>
        <v>0.94174716738641262</v>
      </c>
      <c r="F301">
        <f>regression!F301</f>
        <v>0.22370268298926882</v>
      </c>
      <c r="G301">
        <f>regression!G301</f>
        <v>0.70330000000000004</v>
      </c>
      <c r="H301">
        <f>regression!H301</f>
        <v>4.1470000000000002</v>
      </c>
      <c r="I301">
        <f t="shared" si="5"/>
        <v>0.85965637295189545</v>
      </c>
    </row>
    <row r="302" spans="1:9" x14ac:dyDescent="0.25">
      <c r="A302">
        <f>regression!A302</f>
        <v>2009</v>
      </c>
      <c r="B302">
        <f>regression!B302</f>
        <v>427</v>
      </c>
      <c r="C302" t="str">
        <f>regression!C302</f>
        <v>Cap Ind</v>
      </c>
      <c r="D302" t="str">
        <f>regression!D302</f>
        <v>Sr. Unsec.</v>
      </c>
      <c r="E302">
        <f>regression!E302</f>
        <v>0.81332003553509713</v>
      </c>
      <c r="F302">
        <f>regression!F302</f>
        <v>0.33598906432431858</v>
      </c>
      <c r="G302">
        <f>regression!G302</f>
        <v>0.53820000000000001</v>
      </c>
      <c r="H302">
        <f>regression!H302</f>
        <v>3.0710000000000002</v>
      </c>
      <c r="I302">
        <f t="shared" si="5"/>
        <v>0.27563353082587955</v>
      </c>
    </row>
    <row r="303" spans="1:9" x14ac:dyDescent="0.25">
      <c r="A303">
        <f>regression!A303</f>
        <v>2009</v>
      </c>
      <c r="B303">
        <f>regression!B303</f>
        <v>429</v>
      </c>
      <c r="C303" t="str">
        <f>regression!C303</f>
        <v>Tech</v>
      </c>
      <c r="D303" t="str">
        <f>regression!D303</f>
        <v>Sr. Sec.</v>
      </c>
      <c r="E303">
        <f>regression!E303</f>
        <v>0.60861715112984183</v>
      </c>
      <c r="F303">
        <f>regression!F303</f>
        <v>0.91617196132059298</v>
      </c>
      <c r="G303">
        <f>regression!G303</f>
        <v>0.36450000000000005</v>
      </c>
      <c r="H303">
        <f>regression!H303</f>
        <v>1.1639999999999999</v>
      </c>
      <c r="I303">
        <f t="shared" si="5"/>
        <v>-0.26571959988075677</v>
      </c>
    </row>
    <row r="304" spans="1:9" x14ac:dyDescent="0.25">
      <c r="A304">
        <f>regression!A304</f>
        <v>2009</v>
      </c>
      <c r="B304">
        <f>regression!B304</f>
        <v>430</v>
      </c>
      <c r="C304" t="str">
        <f>regression!C304</f>
        <v>Transp</v>
      </c>
      <c r="D304" t="str">
        <f>regression!D304</f>
        <v>Sr. Unsec.</v>
      </c>
      <c r="E304">
        <f>regression!E304</f>
        <v>0.84883729082107551</v>
      </c>
      <c r="F304">
        <f>regression!F304</f>
        <v>0.21785293847142356</v>
      </c>
      <c r="G304">
        <f>regression!G304</f>
        <v>0.53820000000000001</v>
      </c>
      <c r="H304">
        <f>regression!H304</f>
        <v>2.9630000000000001</v>
      </c>
      <c r="I304">
        <f t="shared" si="5"/>
        <v>0.39824190544533244</v>
      </c>
    </row>
    <row r="305" spans="1:9" x14ac:dyDescent="0.25">
      <c r="A305">
        <f>regression!A305</f>
        <v>2009</v>
      </c>
      <c r="B305">
        <f>regression!B305</f>
        <v>431</v>
      </c>
      <c r="C305" t="str">
        <f>regression!C305</f>
        <v>Retail</v>
      </c>
      <c r="D305" t="str">
        <f>regression!D305</f>
        <v>Sr. Unsec.</v>
      </c>
      <c r="E305">
        <f>regression!E305</f>
        <v>0.93340069661736491</v>
      </c>
      <c r="F305">
        <f>regression!F305</f>
        <v>0.60324383641744472</v>
      </c>
      <c r="G305">
        <f>regression!G305</f>
        <v>0.53820000000000001</v>
      </c>
      <c r="H305">
        <f>regression!H305</f>
        <v>2.2469999999999999</v>
      </c>
      <c r="I305">
        <f t="shared" si="5"/>
        <v>0.8018172642084388</v>
      </c>
    </row>
    <row r="306" spans="1:9" x14ac:dyDescent="0.25">
      <c r="A306">
        <f>regression!A306</f>
        <v>2009</v>
      </c>
      <c r="B306">
        <f>regression!B306</f>
        <v>432</v>
      </c>
      <c r="C306" t="str">
        <f>regression!C306</f>
        <v>Media</v>
      </c>
      <c r="D306" t="str">
        <f>regression!D306</f>
        <v>Sr. Unsec.</v>
      </c>
      <c r="E306">
        <f>regression!E306</f>
        <v>0.98656320883512494</v>
      </c>
      <c r="F306">
        <f>regression!F306</f>
        <v>0.23844340166327446</v>
      </c>
      <c r="G306">
        <f>regression!G306</f>
        <v>0.53820000000000001</v>
      </c>
      <c r="H306">
        <f>regression!H306</f>
        <v>4.1470000000000002</v>
      </c>
      <c r="I306">
        <f t="shared" si="5"/>
        <v>1.4013089979322366</v>
      </c>
    </row>
    <row r="307" spans="1:9" x14ac:dyDescent="0.25">
      <c r="A307">
        <f>regression!A307</f>
        <v>2009</v>
      </c>
      <c r="B307">
        <f>regression!B307</f>
        <v>433</v>
      </c>
      <c r="C307" t="str">
        <f>regression!C307</f>
        <v>Cons G</v>
      </c>
      <c r="D307" t="str">
        <f>regression!D307</f>
        <v>Sr. Unsec.</v>
      </c>
      <c r="E307">
        <f>regression!E307</f>
        <v>0.22312359634160994</v>
      </c>
      <c r="F307">
        <f>regression!F307</f>
        <v>0.19352768757885314</v>
      </c>
      <c r="G307">
        <f>regression!G307</f>
        <v>0.53820000000000001</v>
      </c>
      <c r="H307">
        <f>regression!H307</f>
        <v>3.7829999999999999</v>
      </c>
      <c r="I307">
        <f t="shared" si="5"/>
        <v>-1.2127535902034476</v>
      </c>
    </row>
    <row r="308" spans="1:9" x14ac:dyDescent="0.25">
      <c r="A308">
        <f>regression!A308</f>
        <v>2009</v>
      </c>
      <c r="B308">
        <f>regression!B308</f>
        <v>433</v>
      </c>
      <c r="C308" t="str">
        <f>regression!C308</f>
        <v>Cons G</v>
      </c>
      <c r="D308" t="str">
        <f>regression!D308</f>
        <v>Sr. Sub.</v>
      </c>
      <c r="E308">
        <f>regression!E308</f>
        <v>0.56960786878764624</v>
      </c>
      <c r="F308">
        <f>regression!F308</f>
        <v>0.19352768757885314</v>
      </c>
      <c r="G308">
        <f>regression!G308</f>
        <v>0.70330000000000004</v>
      </c>
      <c r="H308">
        <f>regression!H308</f>
        <v>3.7829999999999999</v>
      </c>
      <c r="I308">
        <f t="shared" si="5"/>
        <v>-0.35543265044021616</v>
      </c>
    </row>
    <row r="309" spans="1:9" x14ac:dyDescent="0.25">
      <c r="A309">
        <f>regression!A309</f>
        <v>2009</v>
      </c>
      <c r="B309">
        <f>regression!B309</f>
        <v>434</v>
      </c>
      <c r="C309" t="str">
        <f>regression!C309</f>
        <v>Media</v>
      </c>
      <c r="D309" t="str">
        <f>regression!D309</f>
        <v>Sr. Sub.</v>
      </c>
      <c r="E309">
        <f>regression!E309</f>
        <v>0.71347668892145166</v>
      </c>
      <c r="F309">
        <f>regression!F309</f>
        <v>0.80560474625843836</v>
      </c>
      <c r="G309">
        <f>regression!G309</f>
        <v>0.70330000000000004</v>
      </c>
      <c r="H309">
        <f>regression!H309</f>
        <v>4.1470000000000002</v>
      </c>
      <c r="I309">
        <f t="shared" si="5"/>
        <v>-1.044439386232596E-2</v>
      </c>
    </row>
    <row r="310" spans="1:9" x14ac:dyDescent="0.25">
      <c r="A310">
        <f>regression!A310</f>
        <v>2009</v>
      </c>
      <c r="B310">
        <f>regression!B310</f>
        <v>435</v>
      </c>
      <c r="C310" t="str">
        <f>regression!C310</f>
        <v>Media</v>
      </c>
      <c r="D310" t="str">
        <f>regression!D310</f>
        <v>Sr. Unsec.</v>
      </c>
      <c r="E310">
        <f>regression!E310</f>
        <v>0.66546670871973035</v>
      </c>
      <c r="F310">
        <f>regression!F310</f>
        <v>0.33545556635133167</v>
      </c>
      <c r="G310">
        <f>regression!G310</f>
        <v>0.53820000000000001</v>
      </c>
      <c r="H310">
        <f>regression!H310</f>
        <v>4.1470000000000002</v>
      </c>
      <c r="I310">
        <f t="shared" si="5"/>
        <v>-0.1307969501967069</v>
      </c>
    </row>
    <row r="311" spans="1:9" x14ac:dyDescent="0.25">
      <c r="A311">
        <f>regression!A311</f>
        <v>2009</v>
      </c>
      <c r="B311">
        <f>regression!B311</f>
        <v>436</v>
      </c>
      <c r="C311" t="str">
        <f>regression!C311</f>
        <v>Retail</v>
      </c>
      <c r="D311" t="str">
        <f>regression!D311</f>
        <v>Sr. Unsec.</v>
      </c>
      <c r="E311">
        <f>regression!E311</f>
        <v>0.40580793209373955</v>
      </c>
      <c r="F311">
        <f>regression!F311</f>
        <v>0.44963105555271604</v>
      </c>
      <c r="G311">
        <f>regression!G311</f>
        <v>0.53820000000000001</v>
      </c>
      <c r="H311">
        <f>regression!H311</f>
        <v>2.2469999999999999</v>
      </c>
      <c r="I311">
        <f t="shared" si="5"/>
        <v>-0.72949676424683429</v>
      </c>
    </row>
    <row r="312" spans="1:9" x14ac:dyDescent="0.25">
      <c r="A312">
        <f>regression!A312</f>
        <v>2009</v>
      </c>
      <c r="B312">
        <f>regression!B312</f>
        <v>437</v>
      </c>
      <c r="C312" t="str">
        <f>regression!C312</f>
        <v>Tech</v>
      </c>
      <c r="D312" t="str">
        <f>regression!D312</f>
        <v>Sr. Unsec.</v>
      </c>
      <c r="E312">
        <f>regression!E312</f>
        <v>0.27363625454902651</v>
      </c>
      <c r="F312">
        <f>regression!F312</f>
        <v>0.56244521561048766</v>
      </c>
      <c r="G312">
        <f>regression!G312</f>
        <v>0.53820000000000001</v>
      </c>
      <c r="H312">
        <f>regression!H312</f>
        <v>1.1639999999999999</v>
      </c>
      <c r="I312">
        <f t="shared" si="5"/>
        <v>-1.0639353121342017</v>
      </c>
    </row>
    <row r="313" spans="1:9" x14ac:dyDescent="0.25">
      <c r="A313">
        <f>regression!A313</f>
        <v>2009</v>
      </c>
      <c r="B313">
        <f>regression!B313</f>
        <v>438</v>
      </c>
      <c r="C313" t="str">
        <f>regression!C313</f>
        <v>Transp</v>
      </c>
      <c r="D313" t="str">
        <f>regression!D313</f>
        <v>Sr. Unsec.</v>
      </c>
      <c r="E313">
        <f>regression!E313</f>
        <v>0.32151876230001464</v>
      </c>
      <c r="F313">
        <f>regression!F313</f>
        <v>0.13149667786033031</v>
      </c>
      <c r="G313">
        <f>regression!G313</f>
        <v>0.53820000000000001</v>
      </c>
      <c r="H313">
        <f>regression!H313</f>
        <v>2.9630000000000001</v>
      </c>
      <c r="I313">
        <f t="shared" si="5"/>
        <v>-0.935954757555993</v>
      </c>
    </row>
    <row r="314" spans="1:9" x14ac:dyDescent="0.25">
      <c r="A314">
        <f>regression!A314</f>
        <v>2009</v>
      </c>
      <c r="B314">
        <f>regression!B314</f>
        <v>439</v>
      </c>
      <c r="C314" t="str">
        <f>regression!C314</f>
        <v>Cons G</v>
      </c>
      <c r="D314" t="str">
        <f>regression!D314</f>
        <v>Sr. Unsec.</v>
      </c>
      <c r="E314">
        <f>regression!E314</f>
        <v>0.99</v>
      </c>
      <c r="F314">
        <f>regression!F314</f>
        <v>0.2703988854062313</v>
      </c>
      <c r="G314">
        <f>regression!G314</f>
        <v>0.53820000000000001</v>
      </c>
      <c r="H314">
        <f>regression!H314</f>
        <v>3.7829999999999999</v>
      </c>
      <c r="I314">
        <f t="shared" si="5"/>
        <v>1.4954060676963419</v>
      </c>
    </row>
    <row r="315" spans="1:9" x14ac:dyDescent="0.25">
      <c r="A315">
        <f>regression!A315</f>
        <v>2009</v>
      </c>
      <c r="B315">
        <f>regression!B315</f>
        <v>439</v>
      </c>
      <c r="C315" t="str">
        <f>regression!C315</f>
        <v>Cons G</v>
      </c>
      <c r="D315" t="str">
        <f>regression!D315</f>
        <v>Sr. Sub.</v>
      </c>
      <c r="E315">
        <f>regression!E315</f>
        <v>0.99</v>
      </c>
      <c r="F315">
        <f>regression!F315</f>
        <v>0.2703988854062313</v>
      </c>
      <c r="G315">
        <f>regression!G315</f>
        <v>0.70330000000000004</v>
      </c>
      <c r="H315">
        <f>regression!H315</f>
        <v>3.7829999999999999</v>
      </c>
      <c r="I315">
        <f t="shared" si="5"/>
        <v>1.4954060676963419</v>
      </c>
    </row>
    <row r="316" spans="1:9" x14ac:dyDescent="0.25">
      <c r="A316">
        <f>regression!A316</f>
        <v>2009</v>
      </c>
      <c r="B316">
        <f>regression!B316</f>
        <v>441</v>
      </c>
      <c r="C316" t="str">
        <f>regression!C316</f>
        <v>Retail</v>
      </c>
      <c r="D316" t="str">
        <f>regression!D316</f>
        <v>Sr. Unsec.</v>
      </c>
      <c r="E316">
        <f>regression!E316</f>
        <v>0.61800208950042723</v>
      </c>
      <c r="F316">
        <f>regression!F316</f>
        <v>0.24225793738965759</v>
      </c>
      <c r="G316">
        <f>regression!G316</f>
        <v>0.53820000000000001</v>
      </c>
      <c r="H316">
        <f>regression!H316</f>
        <v>2.2469999999999999</v>
      </c>
      <c r="I316">
        <f t="shared" si="5"/>
        <v>-0.24385389368889307</v>
      </c>
    </row>
    <row r="317" spans="1:9" x14ac:dyDescent="0.25">
      <c r="A317">
        <f>regression!A317</f>
        <v>2009</v>
      </c>
      <c r="B317">
        <f>regression!B317</f>
        <v>445</v>
      </c>
      <c r="C317" t="str">
        <f>regression!C317</f>
        <v>Cap Ind</v>
      </c>
      <c r="D317" t="str">
        <f>regression!D317</f>
        <v>Sr. Unsec.</v>
      </c>
      <c r="E317">
        <f>regression!E317</f>
        <v>0.90121015389144421</v>
      </c>
      <c r="F317">
        <f>regression!F317</f>
        <v>0.88480253786615271</v>
      </c>
      <c r="G317">
        <f>regression!G317</f>
        <v>0.53820000000000001</v>
      </c>
      <c r="H317">
        <f>regression!H317</f>
        <v>3.0710000000000002</v>
      </c>
      <c r="I317">
        <f t="shared" si="5"/>
        <v>0.61969111496620022</v>
      </c>
    </row>
    <row r="318" spans="1:9" x14ac:dyDescent="0.25">
      <c r="A318">
        <f>regression!A318</f>
        <v>2009</v>
      </c>
      <c r="B318">
        <f>regression!B318</f>
        <v>446</v>
      </c>
      <c r="C318" t="str">
        <f>regression!C318</f>
        <v>Cons G</v>
      </c>
      <c r="D318" t="str">
        <f>regression!D318</f>
        <v>Sr. Sec.</v>
      </c>
      <c r="E318">
        <f>regression!E318</f>
        <v>0.74825554385721682</v>
      </c>
      <c r="F318">
        <f>regression!F318</f>
        <v>0.60745281868200707</v>
      </c>
      <c r="G318">
        <f>regression!G318</f>
        <v>0.36450000000000005</v>
      </c>
      <c r="H318">
        <f>regression!H318</f>
        <v>3.7829999999999999</v>
      </c>
      <c r="I318">
        <f t="shared" si="5"/>
        <v>8.2310730856491571E-2</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18"/>
  <sheetViews>
    <sheetView topLeftCell="A10" workbookViewId="0">
      <selection activeCell="M31" sqref="M31"/>
    </sheetView>
  </sheetViews>
  <sheetFormatPr defaultRowHeight="15" x14ac:dyDescent="0.25"/>
  <cols>
    <col min="10" max="10" width="12" bestFit="1" customWidth="1"/>
    <col min="11" max="11" width="12.28515625" bestFit="1" customWidth="1"/>
    <col min="13" max="13" width="26.42578125" bestFit="1" customWidth="1"/>
    <col min="14" max="14" width="12.28515625" bestFit="1" customWidth="1"/>
  </cols>
  <sheetData>
    <row r="1" spans="1:14" x14ac:dyDescent="0.25">
      <c r="A1" t="str">
        <f>regression!A1</f>
        <v>Year</v>
      </c>
      <c r="B1" t="str">
        <f>regression!B1</f>
        <v>ID</v>
      </c>
      <c r="C1" t="str">
        <f>regression!C1</f>
        <v>Industry</v>
      </c>
      <c r="D1" t="str">
        <f>regression!D1</f>
        <v>Type</v>
      </c>
      <c r="E1" t="str">
        <f>regression!E1</f>
        <v>LGD</v>
      </c>
      <c r="F1" t="str">
        <f>regression!F1</f>
        <v>LEV</v>
      </c>
      <c r="G1" t="str">
        <f>regression!G1</f>
        <v>LGD_A</v>
      </c>
      <c r="H1" t="str">
        <f>regression!H1</f>
        <v>I_DEF</v>
      </c>
      <c r="I1" t="s">
        <v>26</v>
      </c>
    </row>
    <row r="2" spans="1:14" x14ac:dyDescent="0.25">
      <c r="A2">
        <f>regression!A2</f>
        <v>2007</v>
      </c>
      <c r="B2">
        <f>regression!B2</f>
        <v>1</v>
      </c>
      <c r="C2" t="str">
        <f>regression!C2</f>
        <v>Media</v>
      </c>
      <c r="D2" t="str">
        <f>regression!D2</f>
        <v>Sr. Unsec.</v>
      </c>
      <c r="E2">
        <f>regression!E2</f>
        <v>0.74757345077395443</v>
      </c>
      <c r="F2">
        <f>regression!F2</f>
        <v>0.4139897858986048</v>
      </c>
      <c r="G2">
        <f>regression!G2</f>
        <v>0.62609999999999999</v>
      </c>
      <c r="H2">
        <f>regression!H2</f>
        <v>1.415</v>
      </c>
      <c r="I2">
        <f>NORMSINV(BETADIST(E2,N$14,N$15))</f>
        <v>8.0434680040254669E-2</v>
      </c>
    </row>
    <row r="3" spans="1:14" x14ac:dyDescent="0.25">
      <c r="A3">
        <f>regression!A3</f>
        <v>2007</v>
      </c>
      <c r="B3">
        <f>regression!B3</f>
        <v>1</v>
      </c>
      <c r="C3" t="str">
        <f>regression!C3</f>
        <v>Media</v>
      </c>
      <c r="D3" t="str">
        <f>regression!D3</f>
        <v>Sub.</v>
      </c>
      <c r="E3">
        <f>regression!E3</f>
        <v>0.99</v>
      </c>
      <c r="F3">
        <f>regression!F3</f>
        <v>0.4139897858986048</v>
      </c>
      <c r="G3">
        <f>regression!G3</f>
        <v>0.68489999999999995</v>
      </c>
      <c r="H3">
        <f>regression!H3</f>
        <v>1.415</v>
      </c>
      <c r="I3">
        <f t="shared" ref="I3:I66" si="0">NORMSINV(BETADIST(E3,N$14,N$15))</f>
        <v>1.4954060676963419</v>
      </c>
    </row>
    <row r="4" spans="1:14" x14ac:dyDescent="0.25">
      <c r="A4">
        <f>regression!A4</f>
        <v>2007</v>
      </c>
      <c r="B4">
        <f>regression!B4</f>
        <v>2</v>
      </c>
      <c r="C4" t="str">
        <f>regression!C4</f>
        <v>Retail</v>
      </c>
      <c r="D4" t="str">
        <f>regression!D4</f>
        <v>Sr. Sec.</v>
      </c>
      <c r="E4">
        <f>regression!E4</f>
        <v>6.5810750338203716E-2</v>
      </c>
      <c r="F4">
        <f>regression!F4</f>
        <v>0.23036114242977343</v>
      </c>
      <c r="G4">
        <f>regression!G4</f>
        <v>0.45660000000000001</v>
      </c>
      <c r="H4">
        <f>regression!H4</f>
        <v>1.1830000000000001</v>
      </c>
      <c r="I4">
        <f t="shared" si="0"/>
        <v>-1.9218252198489403</v>
      </c>
    </row>
    <row r="5" spans="1:14" x14ac:dyDescent="0.25">
      <c r="A5">
        <f>regression!A5</f>
        <v>2007</v>
      </c>
      <c r="B5">
        <f>regression!B5</f>
        <v>3</v>
      </c>
      <c r="C5" t="str">
        <f>regression!C5</f>
        <v>Transp</v>
      </c>
      <c r="D5" t="str">
        <f>regression!D5</f>
        <v>Sr. Unsec.</v>
      </c>
      <c r="E5">
        <f>regression!E5</f>
        <v>0.35128799169906799</v>
      </c>
      <c r="F5">
        <f>regression!F5</f>
        <v>0.54133930867264546</v>
      </c>
      <c r="G5">
        <f>regression!G5</f>
        <v>0.62609999999999999</v>
      </c>
      <c r="H5">
        <f>regression!H5</f>
        <v>2.3530000000000002</v>
      </c>
      <c r="I5">
        <f t="shared" si="0"/>
        <v>-0.86086407158233014</v>
      </c>
    </row>
    <row r="6" spans="1:14" x14ac:dyDescent="0.25">
      <c r="A6">
        <f>regression!A6</f>
        <v>2007</v>
      </c>
      <c r="B6">
        <f>regression!B6</f>
        <v>3</v>
      </c>
      <c r="C6" t="str">
        <f>regression!C6</f>
        <v>Transp</v>
      </c>
      <c r="D6" t="str">
        <f>regression!D6</f>
        <v>Sr. Sec.</v>
      </c>
      <c r="E6">
        <f>regression!E6</f>
        <v>0.25844920997567156</v>
      </c>
      <c r="F6">
        <f>regression!F6</f>
        <v>0.54133930867264546</v>
      </c>
      <c r="G6">
        <f>regression!G6</f>
        <v>0.45660000000000001</v>
      </c>
      <c r="H6">
        <f>regression!H6</f>
        <v>2.3530000000000002</v>
      </c>
      <c r="I6">
        <f t="shared" si="0"/>
        <v>-1.1069149685479212</v>
      </c>
    </row>
    <row r="7" spans="1:14" x14ac:dyDescent="0.25">
      <c r="A7">
        <f>regression!A7</f>
        <v>2007</v>
      </c>
      <c r="B7">
        <f>regression!B7</f>
        <v>4</v>
      </c>
      <c r="C7" t="str">
        <f>regression!C7</f>
        <v>Tech</v>
      </c>
      <c r="D7" t="str">
        <f>regression!D7</f>
        <v>Sr. Sub.</v>
      </c>
      <c r="E7">
        <f>regression!E7</f>
        <v>1.9680090408217832E-2</v>
      </c>
      <c r="F7">
        <f>regression!F7</f>
        <v>0.81200000000000006</v>
      </c>
      <c r="G7">
        <f>regression!G7</f>
        <v>0.67149999999999999</v>
      </c>
      <c r="H7">
        <f>regression!H7</f>
        <v>0.74299999999999999</v>
      </c>
      <c r="I7">
        <f t="shared" si="0"/>
        <v>-2.4617197408670526</v>
      </c>
    </row>
    <row r="8" spans="1:14" x14ac:dyDescent="0.25">
      <c r="A8">
        <f>regression!A8</f>
        <v>2007</v>
      </c>
      <c r="B8">
        <f>regression!B8</f>
        <v>6</v>
      </c>
      <c r="C8" t="str">
        <f>regression!C8</f>
        <v>Transp</v>
      </c>
      <c r="D8" t="str">
        <f>regression!D8</f>
        <v>Sr. Sub.</v>
      </c>
      <c r="E8">
        <f>regression!E8</f>
        <v>0.93103551289458553</v>
      </c>
      <c r="F8">
        <f>regression!F8</f>
        <v>0.54673222886580675</v>
      </c>
      <c r="G8">
        <f>regression!G8</f>
        <v>0.67149999999999999</v>
      </c>
      <c r="H8">
        <f>regression!H8</f>
        <v>2.3530000000000002</v>
      </c>
      <c r="I8">
        <f t="shared" si="0"/>
        <v>0.78643548302057364</v>
      </c>
    </row>
    <row r="9" spans="1:14" x14ac:dyDescent="0.25">
      <c r="A9">
        <f>regression!A9</f>
        <v>2007</v>
      </c>
      <c r="B9">
        <f>regression!B9</f>
        <v>7</v>
      </c>
      <c r="C9" t="str">
        <f>regression!C9</f>
        <v>Retail</v>
      </c>
      <c r="D9" t="str">
        <f>regression!D9</f>
        <v>Sr. Sub.</v>
      </c>
      <c r="E9">
        <f>regression!E9</f>
        <v>0.34125492454895112</v>
      </c>
      <c r="F9">
        <f>regression!F9</f>
        <v>0.71</v>
      </c>
      <c r="G9">
        <f>regression!G9</f>
        <v>0.67149999999999999</v>
      </c>
      <c r="H9">
        <f>regression!H9</f>
        <v>1.1830000000000001</v>
      </c>
      <c r="I9">
        <f t="shared" si="0"/>
        <v>-0.8858556382477325</v>
      </c>
      <c r="M9" s="11" t="s">
        <v>27</v>
      </c>
      <c r="N9" s="12"/>
    </row>
    <row r="10" spans="1:14" x14ac:dyDescent="0.25">
      <c r="A10">
        <f>regression!A10</f>
        <v>2007</v>
      </c>
      <c r="B10">
        <f>regression!B10</f>
        <v>8</v>
      </c>
      <c r="C10" t="str">
        <f>regression!C10</f>
        <v>Transp</v>
      </c>
      <c r="D10" t="str">
        <f>regression!D10</f>
        <v>Sr. Sub.</v>
      </c>
      <c r="E10">
        <f>regression!E10</f>
        <v>0.35075455977469705</v>
      </c>
      <c r="F10">
        <f>regression!F10</f>
        <v>0.85533936081795725</v>
      </c>
      <c r="G10">
        <f>regression!G10</f>
        <v>0.67149999999999999</v>
      </c>
      <c r="H10">
        <f>regression!H10</f>
        <v>2.3530000000000002</v>
      </c>
      <c r="I10">
        <f t="shared" si="0"/>
        <v>-0.86218536052335548</v>
      </c>
      <c r="M10" s="13" t="s">
        <v>28</v>
      </c>
      <c r="N10" s="14">
        <f>AVERAGE(E2:E318)</f>
        <v>0.65157901790420347</v>
      </c>
    </row>
    <row r="11" spans="1:14" x14ac:dyDescent="0.25">
      <c r="A11">
        <f>regression!A11</f>
        <v>2007</v>
      </c>
      <c r="B11">
        <f>regression!B11</f>
        <v>9</v>
      </c>
      <c r="C11" t="str">
        <f>regression!C11</f>
        <v>Tech</v>
      </c>
      <c r="D11" t="str">
        <f>regression!D11</f>
        <v>Sr. Unsec.</v>
      </c>
      <c r="E11">
        <f>regression!E11</f>
        <v>4.5826764176957413E-2</v>
      </c>
      <c r="F11">
        <f>regression!F11</f>
        <v>0.31398323653338439</v>
      </c>
      <c r="G11">
        <f>regression!G11</f>
        <v>0.62609999999999999</v>
      </c>
      <c r="H11">
        <f>regression!H11</f>
        <v>0.74299999999999999</v>
      </c>
      <c r="I11">
        <f t="shared" si="0"/>
        <v>-2.0954040551361661</v>
      </c>
      <c r="M11" t="s">
        <v>29</v>
      </c>
      <c r="N11" s="14">
        <f>STDEV(E2:E318)</f>
        <v>0.28816309407550272</v>
      </c>
    </row>
    <row r="12" spans="1:14" x14ac:dyDescent="0.25">
      <c r="A12">
        <f>regression!A12</f>
        <v>2007</v>
      </c>
      <c r="B12">
        <f>regression!B12</f>
        <v>10</v>
      </c>
      <c r="C12" t="str">
        <f>regression!C12</f>
        <v>Energy</v>
      </c>
      <c r="D12" t="str">
        <f>regression!D12</f>
        <v>Sr. Sec.</v>
      </c>
      <c r="E12">
        <f>regression!E12</f>
        <v>2.5754192763850048E-2</v>
      </c>
      <c r="F12">
        <f>regression!F12</f>
        <v>0.1906482365410154</v>
      </c>
      <c r="G12">
        <f>regression!G12</f>
        <v>0.45660000000000001</v>
      </c>
      <c r="H12">
        <f>regression!H12</f>
        <v>0</v>
      </c>
      <c r="I12">
        <f t="shared" si="0"/>
        <v>-2.3502199351174182</v>
      </c>
    </row>
    <row r="13" spans="1:14" x14ac:dyDescent="0.25">
      <c r="A13">
        <f>regression!A13</f>
        <v>2007</v>
      </c>
      <c r="B13">
        <f>regression!B13</f>
        <v>11</v>
      </c>
      <c r="C13" t="str">
        <f>regression!C13</f>
        <v>Transp</v>
      </c>
      <c r="D13" t="str">
        <f>regression!D13</f>
        <v>Sr. Unsec.</v>
      </c>
      <c r="E13">
        <f>regression!E13</f>
        <v>0.75973256755290175</v>
      </c>
      <c r="F13">
        <f>regression!F13</f>
        <v>0.49095375606826613</v>
      </c>
      <c r="G13">
        <f>regression!G13</f>
        <v>0.62609999999999999</v>
      </c>
      <c r="H13">
        <f>regression!H13</f>
        <v>2.3530000000000002</v>
      </c>
      <c r="I13">
        <f t="shared" si="0"/>
        <v>0.11426907906261712</v>
      </c>
      <c r="M13" s="1" t="s">
        <v>30</v>
      </c>
    </row>
    <row r="14" spans="1:14" x14ac:dyDescent="0.25">
      <c r="A14">
        <f>regression!A14</f>
        <v>2007</v>
      </c>
      <c r="B14">
        <f>regression!B14</f>
        <v>12</v>
      </c>
      <c r="C14" t="str">
        <f>regression!C14</f>
        <v>Media</v>
      </c>
      <c r="D14" t="str">
        <f>regression!D14</f>
        <v>Sr. Unsec.</v>
      </c>
      <c r="E14">
        <f>regression!E14</f>
        <v>0.75798999853079407</v>
      </c>
      <c r="F14">
        <f>regression!F14</f>
        <v>0.91078875873769793</v>
      </c>
      <c r="G14">
        <f>regression!G14</f>
        <v>0.62609999999999999</v>
      </c>
      <c r="H14">
        <f>regression!H14</f>
        <v>1.415</v>
      </c>
      <c r="I14">
        <f t="shared" si="0"/>
        <v>0.10936767486103548</v>
      </c>
      <c r="M14" t="s">
        <v>31</v>
      </c>
      <c r="N14">
        <f>N10/N11^2*(N10*(1-N10)-N11^2)</f>
        <v>1.1298222816796215</v>
      </c>
    </row>
    <row r="15" spans="1:14" x14ac:dyDescent="0.25">
      <c r="A15">
        <f>regression!A15</f>
        <v>2007</v>
      </c>
      <c r="B15">
        <f>regression!B15</f>
        <v>13</v>
      </c>
      <c r="C15" t="str">
        <f>regression!C15</f>
        <v>Retail</v>
      </c>
      <c r="D15" t="str">
        <f>regression!D15</f>
        <v>Sr. Unsec.</v>
      </c>
      <c r="E15">
        <f>regression!E15</f>
        <v>0.6</v>
      </c>
      <c r="F15">
        <f>regression!F15</f>
        <v>0.33607151817437908</v>
      </c>
      <c r="G15">
        <f>regression!G15</f>
        <v>0.62609999999999999</v>
      </c>
      <c r="H15">
        <f>regression!H15</f>
        <v>1.1830000000000001</v>
      </c>
      <c r="I15">
        <f t="shared" si="0"/>
        <v>-0.28568661869738282</v>
      </c>
      <c r="M15" t="s">
        <v>32</v>
      </c>
      <c r="N15">
        <f>(1-N10)/N11^2*(N10*(1-N10)-N11^2)</f>
        <v>0.60415356873017545</v>
      </c>
    </row>
    <row r="16" spans="1:14" x14ac:dyDescent="0.25">
      <c r="A16">
        <f>regression!A16</f>
        <v>2007</v>
      </c>
      <c r="B16">
        <f>regression!B16</f>
        <v>14</v>
      </c>
      <c r="C16" t="str">
        <f>regression!C16</f>
        <v>Cons G</v>
      </c>
      <c r="D16" t="str">
        <f>regression!D16</f>
        <v>Sr. Sec.</v>
      </c>
      <c r="E16">
        <f>regression!E16</f>
        <v>0.37448025577302113</v>
      </c>
      <c r="F16">
        <f>regression!F16</f>
        <v>0.41486237404570397</v>
      </c>
      <c r="G16">
        <f>regression!G16</f>
        <v>0.45660000000000001</v>
      </c>
      <c r="H16">
        <f>regression!H16</f>
        <v>0.96699999999999997</v>
      </c>
      <c r="I16">
        <f t="shared" si="0"/>
        <v>-0.80415390712808554</v>
      </c>
    </row>
    <row r="17" spans="1:14" x14ac:dyDescent="0.25">
      <c r="A17">
        <f>regression!A17</f>
        <v>2007</v>
      </c>
      <c r="B17">
        <f>regression!B17</f>
        <v>15</v>
      </c>
      <c r="C17" t="str">
        <f>regression!C17</f>
        <v>Retail</v>
      </c>
      <c r="D17" t="str">
        <f>regression!D17</f>
        <v>Sr. Unsec.</v>
      </c>
      <c r="E17">
        <f>regression!E17</f>
        <v>0.16872640728709642</v>
      </c>
      <c r="F17">
        <f>regression!F17</f>
        <v>0.61206399494771813</v>
      </c>
      <c r="G17">
        <f>regression!G17</f>
        <v>0.62609999999999999</v>
      </c>
      <c r="H17">
        <f>regression!H17</f>
        <v>1.1830000000000001</v>
      </c>
      <c r="I17">
        <f t="shared" si="0"/>
        <v>-1.3981763316262499</v>
      </c>
    </row>
    <row r="18" spans="1:14" x14ac:dyDescent="0.25">
      <c r="A18">
        <f>regression!A18</f>
        <v>2007</v>
      </c>
      <c r="B18">
        <f>regression!B18</f>
        <v>16</v>
      </c>
      <c r="C18" t="str">
        <f>regression!C18</f>
        <v>Transp</v>
      </c>
      <c r="D18" t="str">
        <f>regression!D18</f>
        <v>Sr. Unsec.</v>
      </c>
      <c r="E18">
        <f>regression!E18</f>
        <v>0.28390964250291317</v>
      </c>
      <c r="F18">
        <f>regression!F18</f>
        <v>0.69392871672528511</v>
      </c>
      <c r="G18">
        <f>regression!G18</f>
        <v>0.62609999999999999</v>
      </c>
      <c r="H18">
        <f>regression!H18</f>
        <v>2.3530000000000002</v>
      </c>
      <c r="I18">
        <f t="shared" si="0"/>
        <v>-1.0355812961002142</v>
      </c>
    </row>
    <row r="19" spans="1:14" x14ac:dyDescent="0.25">
      <c r="A19">
        <f>regression!A19</f>
        <v>2007</v>
      </c>
      <c r="B19">
        <f>regression!B19</f>
        <v>17</v>
      </c>
      <c r="C19" t="str">
        <f>regression!C19</f>
        <v>Media</v>
      </c>
      <c r="D19" t="str">
        <f>regression!D19</f>
        <v>Sr. Unsec.</v>
      </c>
      <c r="E19">
        <f>regression!E19</f>
        <v>0.74701838219018102</v>
      </c>
      <c r="F19">
        <f>regression!F19</f>
        <v>0.93707243124105388</v>
      </c>
      <c r="G19">
        <f>regression!G19</f>
        <v>0.62609999999999999</v>
      </c>
      <c r="H19">
        <f>regression!H19</f>
        <v>1.415</v>
      </c>
      <c r="I19">
        <f t="shared" si="0"/>
        <v>7.8909854696208537E-2</v>
      </c>
    </row>
    <row r="20" spans="1:14" x14ac:dyDescent="0.25">
      <c r="A20">
        <f>regression!A20</f>
        <v>2007</v>
      </c>
      <c r="B20">
        <f>regression!B20</f>
        <v>21</v>
      </c>
      <c r="C20" t="str">
        <f>regression!C20</f>
        <v>Transp</v>
      </c>
      <c r="D20" t="str">
        <f>regression!D20</f>
        <v>Sr. Sub.</v>
      </c>
      <c r="E20">
        <f>regression!E20</f>
        <v>0.68630005856286913</v>
      </c>
      <c r="F20">
        <f>regression!F20</f>
        <v>0.80116253214876176</v>
      </c>
      <c r="G20">
        <f>regression!G20</f>
        <v>0.67149999999999999</v>
      </c>
      <c r="H20">
        <f>regression!H20</f>
        <v>2.3530000000000002</v>
      </c>
      <c r="I20">
        <f t="shared" si="0"/>
        <v>-7.9475969169865199E-2</v>
      </c>
    </row>
    <row r="21" spans="1:14" x14ac:dyDescent="0.25">
      <c r="A21">
        <f>regression!A21</f>
        <v>2007</v>
      </c>
      <c r="B21">
        <f>regression!B21</f>
        <v>22</v>
      </c>
      <c r="C21" t="str">
        <f>regression!C21</f>
        <v>Energy</v>
      </c>
      <c r="D21" t="str">
        <f>regression!D21</f>
        <v>Sr. Sec.</v>
      </c>
      <c r="E21">
        <f>regression!E21</f>
        <v>5.0051313017193122E-2</v>
      </c>
      <c r="F21">
        <f>regression!F21</f>
        <v>0.36572506640451663</v>
      </c>
      <c r="G21">
        <f>regression!G21</f>
        <v>0.45660000000000001</v>
      </c>
      <c r="H21">
        <f>regression!H21</f>
        <v>0</v>
      </c>
      <c r="I21">
        <f t="shared" si="0"/>
        <v>-2.0541896030007805</v>
      </c>
    </row>
    <row r="22" spans="1:14" x14ac:dyDescent="0.25">
      <c r="A22">
        <f>regression!A22</f>
        <v>2007</v>
      </c>
      <c r="B22">
        <f>regression!B22</f>
        <v>23</v>
      </c>
      <c r="C22" t="str">
        <f>regression!C22</f>
        <v>Retail</v>
      </c>
      <c r="D22" t="str">
        <f>regression!D22</f>
        <v>Sr. Sub.</v>
      </c>
      <c r="E22">
        <f>regression!E22</f>
        <v>0.66432001241815719</v>
      </c>
      <c r="F22">
        <f>regression!F22</f>
        <v>0.17701373287072394</v>
      </c>
      <c r="G22">
        <f>regression!G22</f>
        <v>0.67149999999999999</v>
      </c>
      <c r="H22">
        <f>regression!H22</f>
        <v>1.1830000000000001</v>
      </c>
      <c r="I22">
        <f t="shared" si="0"/>
        <v>-0.1335871273665678</v>
      </c>
    </row>
    <row r="23" spans="1:14" x14ac:dyDescent="0.25">
      <c r="A23">
        <f>regression!A23</f>
        <v>2007</v>
      </c>
      <c r="B23">
        <f>regression!B23</f>
        <v>24</v>
      </c>
      <c r="C23" t="str">
        <f>regression!C23</f>
        <v>Transp</v>
      </c>
      <c r="D23" t="str">
        <f>regression!D23</f>
        <v>Sr. Unsec.</v>
      </c>
      <c r="E23">
        <f>regression!E23</f>
        <v>0.85190258447703004</v>
      </c>
      <c r="F23">
        <f>regression!F23</f>
        <v>0.33394424853074578</v>
      </c>
      <c r="G23">
        <f>regression!G23</f>
        <v>0.62609999999999999</v>
      </c>
      <c r="H23">
        <f>regression!H23</f>
        <v>2.3530000000000002</v>
      </c>
      <c r="I23">
        <f t="shared" si="0"/>
        <v>0.40963867648383917</v>
      </c>
    </row>
    <row r="24" spans="1:14" x14ac:dyDescent="0.25">
      <c r="A24">
        <f>regression!A24</f>
        <v>2007</v>
      </c>
      <c r="B24">
        <f>regression!B24</f>
        <v>27</v>
      </c>
      <c r="C24" t="str">
        <f>regression!C24</f>
        <v>Transp</v>
      </c>
      <c r="D24" t="str">
        <f>regression!D24</f>
        <v>Sr. Sub.</v>
      </c>
      <c r="E24">
        <f>regression!E24</f>
        <v>0.19120147072388038</v>
      </c>
      <c r="F24">
        <f>regression!F24</f>
        <v>0.16671028481622882</v>
      </c>
      <c r="G24">
        <f>regression!G24</f>
        <v>0.67149999999999999</v>
      </c>
      <c r="H24">
        <f>regression!H24</f>
        <v>2.3530000000000002</v>
      </c>
      <c r="I24">
        <f t="shared" si="0"/>
        <v>-1.3174899344871542</v>
      </c>
    </row>
    <row r="25" spans="1:14" x14ac:dyDescent="0.25">
      <c r="A25">
        <f>regression!A25</f>
        <v>2007</v>
      </c>
      <c r="B25">
        <f>regression!B25</f>
        <v>28</v>
      </c>
      <c r="C25" t="str">
        <f>regression!C25</f>
        <v>Tech</v>
      </c>
      <c r="D25" t="str">
        <f>regression!D25</f>
        <v>Sr. Sub.</v>
      </c>
      <c r="E25">
        <f>regression!E25</f>
        <v>0.17837152154660729</v>
      </c>
      <c r="F25">
        <f>regression!F25</f>
        <v>0.30851428864655656</v>
      </c>
      <c r="G25">
        <f>regression!G25</f>
        <v>0.67149999999999999</v>
      </c>
      <c r="H25">
        <f>regression!H25</f>
        <v>0.74299999999999999</v>
      </c>
      <c r="I25">
        <f t="shared" si="0"/>
        <v>-1.362730590921162</v>
      </c>
    </row>
    <row r="26" spans="1:14" x14ac:dyDescent="0.25">
      <c r="A26">
        <f>regression!A26</f>
        <v>2007</v>
      </c>
      <c r="B26">
        <f>regression!B26</f>
        <v>29</v>
      </c>
      <c r="C26" t="str">
        <f>regression!C26</f>
        <v>Retail</v>
      </c>
      <c r="D26" t="str">
        <f>regression!D26</f>
        <v>Sr. Unsec.</v>
      </c>
      <c r="E26">
        <f>regression!E26</f>
        <v>6.2332698878394432E-2</v>
      </c>
      <c r="F26">
        <f>regression!F26</f>
        <v>0.54301431576168024</v>
      </c>
      <c r="G26">
        <f>regression!G26</f>
        <v>0.62609999999999999</v>
      </c>
      <c r="H26">
        <f>regression!H26</f>
        <v>1.1830000000000001</v>
      </c>
      <c r="I26">
        <f t="shared" si="0"/>
        <v>-1.9486445030665898</v>
      </c>
    </row>
    <row r="27" spans="1:14" x14ac:dyDescent="0.25">
      <c r="A27">
        <f>regression!A27</f>
        <v>2007</v>
      </c>
      <c r="B27">
        <f>regression!B27</f>
        <v>30</v>
      </c>
      <c r="C27" t="str">
        <f>regression!C27</f>
        <v>Transp</v>
      </c>
      <c r="D27" t="str">
        <f>regression!D27</f>
        <v>Sr. Sec.</v>
      </c>
      <c r="E27">
        <f>regression!E27</f>
        <v>0.4854537052703547</v>
      </c>
      <c r="F27">
        <f>regression!F27</f>
        <v>0.37586029957274913</v>
      </c>
      <c r="G27">
        <f>regression!G27</f>
        <v>0.45660000000000001</v>
      </c>
      <c r="H27">
        <f>regression!H27</f>
        <v>2.3530000000000002</v>
      </c>
      <c r="I27">
        <f t="shared" si="0"/>
        <v>-0.54612241046431431</v>
      </c>
    </row>
    <row r="28" spans="1:14" x14ac:dyDescent="0.25">
      <c r="A28">
        <f>regression!A28</f>
        <v>2007</v>
      </c>
      <c r="B28">
        <f>regression!B28</f>
        <v>48</v>
      </c>
      <c r="C28" t="str">
        <f>regression!C28</f>
        <v>Tech</v>
      </c>
      <c r="D28" t="str">
        <f>regression!D28</f>
        <v>Sr. Unsec.</v>
      </c>
      <c r="E28">
        <f>regression!E28</f>
        <v>0.45818641264438642</v>
      </c>
      <c r="F28">
        <f>regression!F28</f>
        <v>0.49346095687201991</v>
      </c>
      <c r="G28">
        <f>regression!G28</f>
        <v>0.62609999999999999</v>
      </c>
      <c r="H28">
        <f>regression!H28</f>
        <v>0.74299999999999999</v>
      </c>
      <c r="I28">
        <f t="shared" si="0"/>
        <v>-0.60819176468968905</v>
      </c>
    </row>
    <row r="29" spans="1:14" x14ac:dyDescent="0.25">
      <c r="A29">
        <f>regression!A29</f>
        <v>2007</v>
      </c>
      <c r="B29">
        <f>regression!B29</f>
        <v>48</v>
      </c>
      <c r="C29" t="str">
        <f>regression!C29</f>
        <v>Tech</v>
      </c>
      <c r="D29" t="str">
        <f>regression!D29</f>
        <v>Sub.</v>
      </c>
      <c r="E29">
        <f>regression!E29</f>
        <v>0.82746503669023519</v>
      </c>
      <c r="F29">
        <f>regression!F29</f>
        <v>0.49346095687201991</v>
      </c>
      <c r="G29">
        <f>regression!G29</f>
        <v>0.68489999999999995</v>
      </c>
      <c r="H29">
        <f>regression!H29</f>
        <v>0.74299999999999999</v>
      </c>
      <c r="I29">
        <f t="shared" si="0"/>
        <v>0.32257816764167496</v>
      </c>
      <c r="J29" s="1" t="s">
        <v>33</v>
      </c>
      <c r="M29" s="1" t="s">
        <v>36</v>
      </c>
    </row>
    <row r="30" spans="1:14" x14ac:dyDescent="0.25">
      <c r="A30">
        <f>regression!A30</f>
        <v>2007</v>
      </c>
      <c r="B30">
        <f>regression!B30</f>
        <v>49</v>
      </c>
      <c r="C30" t="str">
        <f>regression!C30</f>
        <v>Media</v>
      </c>
      <c r="D30" t="str">
        <f>regression!D30</f>
        <v>Sr. Sub.</v>
      </c>
      <c r="E30">
        <f>regression!E30</f>
        <v>0.48093841355608091</v>
      </c>
      <c r="F30">
        <f>regression!F30</f>
        <v>0.70701833128672908</v>
      </c>
      <c r="G30">
        <f>regression!G30</f>
        <v>0.67149999999999999</v>
      </c>
      <c r="H30">
        <f>regression!H30</f>
        <v>1.415</v>
      </c>
      <c r="I30">
        <f t="shared" si="0"/>
        <v>-0.55636921881880985</v>
      </c>
      <c r="J30" s="15" t="s">
        <v>34</v>
      </c>
      <c r="K30" s="15" t="s">
        <v>35</v>
      </c>
      <c r="M30" s="16" t="s">
        <v>34</v>
      </c>
      <c r="N30" s="16" t="s">
        <v>35</v>
      </c>
    </row>
    <row r="31" spans="1:14" x14ac:dyDescent="0.25">
      <c r="A31">
        <f>regression!A31</f>
        <v>2008</v>
      </c>
      <c r="B31">
        <f>regression!B31</f>
        <v>50</v>
      </c>
      <c r="C31" t="str">
        <f>regression!C31</f>
        <v>Retail</v>
      </c>
      <c r="D31" t="str">
        <f>regression!D31</f>
        <v>Sr. Sub.</v>
      </c>
      <c r="E31">
        <f>regression!E31</f>
        <v>0.47741094848513599</v>
      </c>
      <c r="F31">
        <f>regression!F31</f>
        <v>0.8323434498094584</v>
      </c>
      <c r="G31">
        <f>regression!G31</f>
        <v>0.68120000000000003</v>
      </c>
      <c r="H31">
        <f>regression!H31</f>
        <v>1.802</v>
      </c>
      <c r="I31">
        <f t="shared" si="0"/>
        <v>-0.56438165788319494</v>
      </c>
      <c r="J31">
        <f>oostrend(E$2:E$318,F$2:F$318,F31:H31,A$2:A$318,A31)</f>
        <v>0.51967271836249862</v>
      </c>
      <c r="K31">
        <f>BETAINV(NORMSDIST(oostrend(I$2:I$318,F$2:H$318,F31:H31,A$2:A$318,A31)),N$14,N$15)</f>
        <v>0.57980861787070914</v>
      </c>
      <c r="M31">
        <f>(SUMXMY2($E31:$E318,J31:J318)/COUNT($E31:$E318))^0.5</f>
        <v>0.30652784682973017</v>
      </c>
      <c r="N31">
        <f>(SUMXMY2($E31:$E318,K31:K318)/COUNT($E31:$E318))^0.5</f>
        <v>0.36847352945007372</v>
      </c>
    </row>
    <row r="32" spans="1:14" x14ac:dyDescent="0.25">
      <c r="A32">
        <f>regression!A32</f>
        <v>2008</v>
      </c>
      <c r="B32">
        <f>regression!B32</f>
        <v>51</v>
      </c>
      <c r="C32" t="str">
        <f>regression!C32</f>
        <v>Media</v>
      </c>
      <c r="D32" t="str">
        <f>regression!D32</f>
        <v>Sr. Unsec.</v>
      </c>
      <c r="E32">
        <f>regression!E32</f>
        <v>0.77144265556335456</v>
      </c>
      <c r="F32">
        <f>regression!F32</f>
        <v>0.23778569529931196</v>
      </c>
      <c r="G32">
        <f>regression!G32</f>
        <v>0.63600000000000001</v>
      </c>
      <c r="H32">
        <f>regression!H32</f>
        <v>0.92</v>
      </c>
      <c r="I32">
        <f t="shared" si="0"/>
        <v>0.14769681649644104</v>
      </c>
      <c r="J32">
        <f t="shared" ref="J32:J95" si="1">oostrend(E$2:E$318,F$2:F$318,F32:H32,A$2:A$318,A32)</f>
        <v>0.37336887323428319</v>
      </c>
      <c r="K32">
        <f t="shared" ref="K32:K95" si="2">BETAINV(NORMSDIST(oostrend(I$2:I$318,F$2:H$318,F32:H32,A$2:A$318,A32)),N$14,N$15)</f>
        <v>0.35987884792785696</v>
      </c>
    </row>
    <row r="33" spans="1:11" x14ac:dyDescent="0.25">
      <c r="A33">
        <f>regression!A33</f>
        <v>2008</v>
      </c>
      <c r="B33">
        <f>regression!B33</f>
        <v>52</v>
      </c>
      <c r="C33" t="str">
        <f>regression!C33</f>
        <v>Transp</v>
      </c>
      <c r="D33" t="str">
        <f>regression!D33</f>
        <v>Sr. Sec.</v>
      </c>
      <c r="E33">
        <f>regression!E33</f>
        <v>8.1576930809021064E-2</v>
      </c>
      <c r="F33">
        <f>regression!F33</f>
        <v>0.29647870966003148</v>
      </c>
      <c r="G33">
        <f>regression!G33</f>
        <v>0.48199999999999998</v>
      </c>
      <c r="H33">
        <f>regression!H33</f>
        <v>0</v>
      </c>
      <c r="I33">
        <f t="shared" si="0"/>
        <v>-1.8127285260440829</v>
      </c>
      <c r="J33">
        <f t="shared" si="1"/>
        <v>0.38781156381900805</v>
      </c>
      <c r="K33">
        <f t="shared" si="2"/>
        <v>6.1568442308274844E-2</v>
      </c>
    </row>
    <row r="34" spans="1:11" x14ac:dyDescent="0.25">
      <c r="A34">
        <f>regression!A34</f>
        <v>2008</v>
      </c>
      <c r="B34">
        <f>regression!B34</f>
        <v>52</v>
      </c>
      <c r="C34" t="str">
        <f>regression!C34</f>
        <v>Retail</v>
      </c>
      <c r="D34" t="str">
        <f>regression!D34</f>
        <v>Sr. Unsec.</v>
      </c>
      <c r="E34">
        <f>regression!E34</f>
        <v>0.56085931088924412</v>
      </c>
      <c r="F34">
        <f>regression!F34</f>
        <v>0.29647870966003148</v>
      </c>
      <c r="G34">
        <f>regression!G34</f>
        <v>0.63600000000000001</v>
      </c>
      <c r="H34">
        <f>regression!H34</f>
        <v>1.802</v>
      </c>
      <c r="I34">
        <f t="shared" si="0"/>
        <v>-0.37535829603636761</v>
      </c>
      <c r="J34">
        <f t="shared" si="1"/>
        <v>0.38781156381900805</v>
      </c>
      <c r="K34">
        <f t="shared" si="2"/>
        <v>0.54747065162770037</v>
      </c>
    </row>
    <row r="35" spans="1:11" x14ac:dyDescent="0.25">
      <c r="A35">
        <f>regression!A35</f>
        <v>2008</v>
      </c>
      <c r="B35">
        <f>regression!B35</f>
        <v>52</v>
      </c>
      <c r="C35" t="str">
        <f>regression!C35</f>
        <v>Retail</v>
      </c>
      <c r="D35" t="str">
        <f>regression!D35</f>
        <v>Sr. Sub.</v>
      </c>
      <c r="E35">
        <f>regression!E35</f>
        <v>0.88407824818104508</v>
      </c>
      <c r="F35">
        <f>regression!F35</f>
        <v>0.29647870966003148</v>
      </c>
      <c r="G35">
        <f>regression!G35</f>
        <v>0.68120000000000003</v>
      </c>
      <c r="H35">
        <f>regression!H35</f>
        <v>1.802</v>
      </c>
      <c r="I35">
        <f t="shared" si="0"/>
        <v>0.53992325973189093</v>
      </c>
      <c r="J35">
        <f t="shared" si="1"/>
        <v>0.38781156381900805</v>
      </c>
      <c r="K35">
        <f t="shared" si="2"/>
        <v>0.62868500159578167</v>
      </c>
    </row>
    <row r="36" spans="1:11" x14ac:dyDescent="0.25">
      <c r="A36">
        <f>regression!A36</f>
        <v>2008</v>
      </c>
      <c r="B36">
        <f>regression!B36</f>
        <v>53</v>
      </c>
      <c r="C36" t="str">
        <f>regression!C36</f>
        <v>Tech</v>
      </c>
      <c r="D36" t="str">
        <f>regression!D36</f>
        <v>Sr. Sec.</v>
      </c>
      <c r="E36">
        <f>regression!E36</f>
        <v>0.45218848057091243</v>
      </c>
      <c r="F36">
        <f>regression!F36</f>
        <v>0.63932472767076454</v>
      </c>
      <c r="G36">
        <f>regression!G36</f>
        <v>0.48199999999999998</v>
      </c>
      <c r="H36">
        <f>regression!H36</f>
        <v>0.48599999999999999</v>
      </c>
      <c r="I36">
        <f t="shared" si="0"/>
        <v>-0.62192035862451744</v>
      </c>
      <c r="J36">
        <f t="shared" si="1"/>
        <v>0.47217627076525581</v>
      </c>
      <c r="K36">
        <f t="shared" si="2"/>
        <v>8.6632084342541715E-2</v>
      </c>
    </row>
    <row r="37" spans="1:11" x14ac:dyDescent="0.25">
      <c r="A37">
        <f>regression!A37</f>
        <v>2008</v>
      </c>
      <c r="B37">
        <f>regression!B37</f>
        <v>53</v>
      </c>
      <c r="C37" t="str">
        <f>regression!C37</f>
        <v>Tech</v>
      </c>
      <c r="D37" t="str">
        <f>regression!D37</f>
        <v>Sr. Unsec.</v>
      </c>
      <c r="E37">
        <f>regression!E37</f>
        <v>0.88976448770761496</v>
      </c>
      <c r="F37">
        <f>regression!F37</f>
        <v>0.63932472767076454</v>
      </c>
      <c r="G37">
        <f>regression!G37</f>
        <v>0.63600000000000001</v>
      </c>
      <c r="H37">
        <f>regression!H37</f>
        <v>0.48599999999999999</v>
      </c>
      <c r="I37">
        <f t="shared" si="0"/>
        <v>0.56542568406186744</v>
      </c>
      <c r="J37">
        <f t="shared" si="1"/>
        <v>0.47217627076525581</v>
      </c>
      <c r="K37">
        <f t="shared" si="2"/>
        <v>0.2456464591353302</v>
      </c>
    </row>
    <row r="38" spans="1:11" x14ac:dyDescent="0.25">
      <c r="A38">
        <f>regression!A38</f>
        <v>2008</v>
      </c>
      <c r="B38">
        <f>regression!B38</f>
        <v>54</v>
      </c>
      <c r="C38" t="str">
        <f>regression!C38</f>
        <v>Media</v>
      </c>
      <c r="D38" t="str">
        <f>regression!D38</f>
        <v>Sr. Sec.</v>
      </c>
      <c r="E38">
        <f>regression!E38</f>
        <v>0.85969781782925137</v>
      </c>
      <c r="F38">
        <f>regression!F38</f>
        <v>0.41714147180195826</v>
      </c>
      <c r="G38">
        <f>regression!G38</f>
        <v>0.48199999999999998</v>
      </c>
      <c r="H38">
        <f>regression!H38</f>
        <v>0.92</v>
      </c>
      <c r="I38">
        <f t="shared" si="0"/>
        <v>0.43932694794460903</v>
      </c>
      <c r="J38">
        <f t="shared" si="1"/>
        <v>0.41750325639427305</v>
      </c>
      <c r="K38">
        <f t="shared" si="2"/>
        <v>0.13954360498840282</v>
      </c>
    </row>
    <row r="39" spans="1:11" x14ac:dyDescent="0.25">
      <c r="A39">
        <f>regression!A39</f>
        <v>2008</v>
      </c>
      <c r="B39">
        <f>regression!B39</f>
        <v>56</v>
      </c>
      <c r="C39" t="str">
        <f>regression!C39</f>
        <v>Cons G</v>
      </c>
      <c r="D39" t="str">
        <f>regression!D39</f>
        <v>Sr. Sub.</v>
      </c>
      <c r="E39">
        <f>regression!E39</f>
        <v>0.46480322089195247</v>
      </c>
      <c r="F39">
        <f>regression!F39</f>
        <v>0.38996303099474688</v>
      </c>
      <c r="G39">
        <f>regression!G39</f>
        <v>0.68120000000000003</v>
      </c>
      <c r="H39">
        <f>regression!H39</f>
        <v>0.65100000000000002</v>
      </c>
      <c r="I39">
        <f t="shared" si="0"/>
        <v>-0.59308243262162041</v>
      </c>
      <c r="J39">
        <f t="shared" si="1"/>
        <v>0.41081541090824336</v>
      </c>
      <c r="K39">
        <f t="shared" si="2"/>
        <v>0.3675152584166132</v>
      </c>
    </row>
    <row r="40" spans="1:11" x14ac:dyDescent="0.25">
      <c r="A40">
        <f>regression!A40</f>
        <v>2008</v>
      </c>
      <c r="B40">
        <f>regression!B40</f>
        <v>57</v>
      </c>
      <c r="C40" t="str">
        <f>regression!C40</f>
        <v>Cons G</v>
      </c>
      <c r="D40" t="str">
        <f>regression!D40</f>
        <v>Sr. Unsec.</v>
      </c>
      <c r="E40">
        <f>regression!E40</f>
        <v>0.86678265056610104</v>
      </c>
      <c r="F40">
        <f>regression!F40</f>
        <v>0.40285905354899543</v>
      </c>
      <c r="G40">
        <f>regression!G40</f>
        <v>0.63600000000000001</v>
      </c>
      <c r="H40">
        <f>regression!H40</f>
        <v>0.65100000000000002</v>
      </c>
      <c r="I40">
        <f t="shared" si="0"/>
        <v>0.46726318332012978</v>
      </c>
      <c r="J40">
        <f t="shared" si="1"/>
        <v>0.41398875726902074</v>
      </c>
      <c r="K40">
        <f t="shared" si="2"/>
        <v>0.29307288624808847</v>
      </c>
    </row>
    <row r="41" spans="1:11" x14ac:dyDescent="0.25">
      <c r="A41">
        <f>regression!A41</f>
        <v>2008</v>
      </c>
      <c r="B41">
        <f>regression!B41</f>
        <v>58</v>
      </c>
      <c r="C41" t="str">
        <f>regression!C41</f>
        <v>Retail</v>
      </c>
      <c r="D41" t="str">
        <f>regression!D41</f>
        <v>Sr. Sec.</v>
      </c>
      <c r="E41">
        <f>regression!E41</f>
        <v>0.97088939411735531</v>
      </c>
      <c r="F41">
        <f>regression!F41</f>
        <v>0.70797216126024221</v>
      </c>
      <c r="G41">
        <f>regression!G41</f>
        <v>0.48199999999999998</v>
      </c>
      <c r="H41">
        <f>regression!H41</f>
        <v>1.802</v>
      </c>
      <c r="I41">
        <f t="shared" si="0"/>
        <v>1.1338883853821249</v>
      </c>
      <c r="J41">
        <f t="shared" si="1"/>
        <v>0.4890684623414957</v>
      </c>
      <c r="K41">
        <f t="shared" si="2"/>
        <v>0.25055622559027774</v>
      </c>
    </row>
    <row r="42" spans="1:11" x14ac:dyDescent="0.25">
      <c r="A42">
        <f>regression!A42</f>
        <v>2008</v>
      </c>
      <c r="B42">
        <f>regression!B42</f>
        <v>58</v>
      </c>
      <c r="C42" t="str">
        <f>regression!C42</f>
        <v>Retail</v>
      </c>
      <c r="D42" t="str">
        <f>regression!D42</f>
        <v>Sub.</v>
      </c>
      <c r="E42">
        <f>regression!E42</f>
        <v>0.97538959100520606</v>
      </c>
      <c r="F42">
        <f>regression!F42</f>
        <v>0.70797216126024221</v>
      </c>
      <c r="G42">
        <f>regression!G42</f>
        <v>0.71120000000000005</v>
      </c>
      <c r="H42">
        <f>regression!H42</f>
        <v>1.802</v>
      </c>
      <c r="I42">
        <f t="shared" si="0"/>
        <v>1.1949332290939665</v>
      </c>
      <c r="J42">
        <f t="shared" si="1"/>
        <v>0.4890684623414957</v>
      </c>
      <c r="K42">
        <f t="shared" si="2"/>
        <v>0.64432653182479638</v>
      </c>
    </row>
    <row r="43" spans="1:11" x14ac:dyDescent="0.25">
      <c r="A43">
        <f>regression!A43</f>
        <v>2008</v>
      </c>
      <c r="B43">
        <f>regression!B43</f>
        <v>59</v>
      </c>
      <c r="C43" t="str">
        <f>regression!C43</f>
        <v>Tech</v>
      </c>
      <c r="D43" t="str">
        <f>regression!D43</f>
        <v>Sr. Unsec.</v>
      </c>
      <c r="E43">
        <f>regression!E43</f>
        <v>0.26735153014957913</v>
      </c>
      <c r="F43">
        <f>regression!F43</f>
        <v>0.71099999999999997</v>
      </c>
      <c r="G43">
        <f>regression!G43</f>
        <v>0.63600000000000001</v>
      </c>
      <c r="H43">
        <f>regression!H43</f>
        <v>0.48599999999999999</v>
      </c>
      <c r="I43">
        <f t="shared" si="0"/>
        <v>-1.0815599940710394</v>
      </c>
      <c r="J43">
        <f t="shared" si="1"/>
        <v>0.48981352780686782</v>
      </c>
      <c r="K43">
        <f t="shared" si="2"/>
        <v>0.24055331804339242</v>
      </c>
    </row>
    <row r="44" spans="1:11" x14ac:dyDescent="0.25">
      <c r="A44">
        <f>regression!A44</f>
        <v>2008</v>
      </c>
      <c r="B44">
        <f>regression!B44</f>
        <v>60</v>
      </c>
      <c r="C44" t="str">
        <f>regression!C44</f>
        <v>Transp</v>
      </c>
      <c r="D44" t="str">
        <f>regression!D44</f>
        <v>Sr. Unsec.</v>
      </c>
      <c r="E44">
        <f>regression!E44</f>
        <v>0.49505987014174457</v>
      </c>
      <c r="F44">
        <f>regression!F44</f>
        <v>0.4</v>
      </c>
      <c r="G44">
        <f>regression!G44</f>
        <v>0.63600000000000001</v>
      </c>
      <c r="H44">
        <f>regression!H44</f>
        <v>0</v>
      </c>
      <c r="I44">
        <f t="shared" si="0"/>
        <v>-0.52435201426677458</v>
      </c>
      <c r="J44">
        <f t="shared" si="1"/>
        <v>0.41328522506466808</v>
      </c>
      <c r="K44">
        <f t="shared" si="2"/>
        <v>0.18486497731192972</v>
      </c>
    </row>
    <row r="45" spans="1:11" x14ac:dyDescent="0.25">
      <c r="A45">
        <f>regression!A45</f>
        <v>2008</v>
      </c>
      <c r="B45">
        <f>regression!B45</f>
        <v>60</v>
      </c>
      <c r="C45" t="str">
        <f>regression!C45</f>
        <v>Transp</v>
      </c>
      <c r="D45" t="str">
        <f>regression!D45</f>
        <v>Sr. Sub.</v>
      </c>
      <c r="E45">
        <f>regression!E45</f>
        <v>0.9190320536255836</v>
      </c>
      <c r="F45">
        <f>regression!F45</f>
        <v>0.4</v>
      </c>
      <c r="G45">
        <f>regression!G45</f>
        <v>0.68120000000000003</v>
      </c>
      <c r="H45">
        <f>regression!H45</f>
        <v>0</v>
      </c>
      <c r="I45">
        <f t="shared" si="0"/>
        <v>0.71395046683569441</v>
      </c>
      <c r="J45">
        <f t="shared" si="1"/>
        <v>0.41328522506466808</v>
      </c>
      <c r="K45">
        <f t="shared" si="2"/>
        <v>0.24282911749242805</v>
      </c>
    </row>
    <row r="46" spans="1:11" x14ac:dyDescent="0.25">
      <c r="A46">
        <f>regression!A46</f>
        <v>2008</v>
      </c>
      <c r="B46">
        <f>regression!B46</f>
        <v>61</v>
      </c>
      <c r="C46" t="str">
        <f>regression!C46</f>
        <v>Media</v>
      </c>
      <c r="D46" t="str">
        <f>regression!D46</f>
        <v>Sr. Unsec.</v>
      </c>
      <c r="E46">
        <f>regression!E46</f>
        <v>0.68992629382884507</v>
      </c>
      <c r="F46">
        <f>regression!F46</f>
        <v>0.38</v>
      </c>
      <c r="G46">
        <f>regression!G46</f>
        <v>0.63600000000000001</v>
      </c>
      <c r="H46">
        <f>regression!H46</f>
        <v>0.92</v>
      </c>
      <c r="I46">
        <f t="shared" si="0"/>
        <v>-7.0411398363777314E-2</v>
      </c>
      <c r="J46">
        <f t="shared" si="1"/>
        <v>0.40836379080471952</v>
      </c>
      <c r="K46">
        <f t="shared" si="2"/>
        <v>0.34769836999319587</v>
      </c>
    </row>
    <row r="47" spans="1:11" x14ac:dyDescent="0.25">
      <c r="A47">
        <f>regression!A47</f>
        <v>2008</v>
      </c>
      <c r="B47">
        <f>regression!B47</f>
        <v>62</v>
      </c>
      <c r="C47" t="str">
        <f>regression!C47</f>
        <v>Media</v>
      </c>
      <c r="D47" t="str">
        <f>regression!D47</f>
        <v>Sr. Sec.</v>
      </c>
      <c r="E47">
        <f>regression!E47</f>
        <v>9.1055164074897776E-2</v>
      </c>
      <c r="F47">
        <f>regression!F47</f>
        <v>0.55725300173160475</v>
      </c>
      <c r="G47">
        <f>regression!G47</f>
        <v>0.48199999999999998</v>
      </c>
      <c r="H47">
        <f>regression!H47</f>
        <v>0.92</v>
      </c>
      <c r="I47">
        <f t="shared" si="0"/>
        <v>-1.7548699669062657</v>
      </c>
      <c r="J47">
        <f t="shared" si="1"/>
        <v>0.45198074057475141</v>
      </c>
      <c r="K47">
        <f t="shared" si="2"/>
        <v>0.13272555144001474</v>
      </c>
    </row>
    <row r="48" spans="1:11" x14ac:dyDescent="0.25">
      <c r="A48">
        <f>regression!A48</f>
        <v>2008</v>
      </c>
      <c r="B48">
        <f>regression!B48</f>
        <v>62</v>
      </c>
      <c r="C48" t="str">
        <f>regression!C48</f>
        <v>Media</v>
      </c>
      <c r="D48" t="str">
        <f>regression!D48</f>
        <v>Sr. Sub.</v>
      </c>
      <c r="E48">
        <f>regression!E48</f>
        <v>0.38780128974914552</v>
      </c>
      <c r="F48">
        <f>regression!F48</f>
        <v>0.55725300173160475</v>
      </c>
      <c r="G48">
        <f>regression!G48</f>
        <v>0.68120000000000003</v>
      </c>
      <c r="H48">
        <f>regression!H48</f>
        <v>0.92</v>
      </c>
      <c r="I48">
        <f t="shared" si="0"/>
        <v>-0.77216516325477691</v>
      </c>
      <c r="J48">
        <f t="shared" si="1"/>
        <v>0.45198074057475141</v>
      </c>
      <c r="K48">
        <f t="shared" si="2"/>
        <v>0.40972566137379041</v>
      </c>
    </row>
    <row r="49" spans="1:11" x14ac:dyDescent="0.25">
      <c r="A49">
        <f>regression!A49</f>
        <v>2008</v>
      </c>
      <c r="B49">
        <f>regression!B49</f>
        <v>63</v>
      </c>
      <c r="C49" t="str">
        <f>regression!C49</f>
        <v>Tech</v>
      </c>
      <c r="D49" t="str">
        <f>regression!D49</f>
        <v>Sr. Unsec.</v>
      </c>
      <c r="E49">
        <f>regression!E49</f>
        <v>0.37058930202400697</v>
      </c>
      <c r="F49">
        <f>regression!F49</f>
        <v>0.33998616590112019</v>
      </c>
      <c r="G49">
        <f>regression!G49</f>
        <v>0.63600000000000001</v>
      </c>
      <c r="H49">
        <f>regression!H49</f>
        <v>0.48599999999999999</v>
      </c>
      <c r="I49">
        <f t="shared" si="0"/>
        <v>-0.81357331710758385</v>
      </c>
      <c r="J49">
        <f t="shared" si="1"/>
        <v>0.39851751810441333</v>
      </c>
      <c r="K49">
        <f t="shared" si="2"/>
        <v>0.26757160466245566</v>
      </c>
    </row>
    <row r="50" spans="1:11" x14ac:dyDescent="0.25">
      <c r="A50">
        <f>regression!A50</f>
        <v>2008</v>
      </c>
      <c r="B50">
        <f>regression!B50</f>
        <v>64</v>
      </c>
      <c r="C50" t="str">
        <f>regression!C50</f>
        <v>Transp</v>
      </c>
      <c r="D50" t="str">
        <f>regression!D50</f>
        <v>Sr. Unsec.</v>
      </c>
      <c r="E50">
        <f>regression!E50</f>
        <v>0.21937463400363932</v>
      </c>
      <c r="F50">
        <f>regression!F50</f>
        <v>0.10556480614735464</v>
      </c>
      <c r="G50">
        <f>regression!G50</f>
        <v>0.63600000000000001</v>
      </c>
      <c r="H50">
        <f>regression!H50</f>
        <v>0</v>
      </c>
      <c r="I50">
        <f t="shared" si="0"/>
        <v>-1.2245509027688675</v>
      </c>
      <c r="J50">
        <f t="shared" si="1"/>
        <v>0.34083305254661816</v>
      </c>
      <c r="K50">
        <f t="shared" si="2"/>
        <v>0.20308426270943247</v>
      </c>
    </row>
    <row r="51" spans="1:11" x14ac:dyDescent="0.25">
      <c r="A51">
        <f>regression!A51</f>
        <v>2008</v>
      </c>
      <c r="B51">
        <f>regression!B51</f>
        <v>65</v>
      </c>
      <c r="C51" t="str">
        <f>regression!C51</f>
        <v>Tech</v>
      </c>
      <c r="D51" t="str">
        <f>regression!D51</f>
        <v>Sr. Unsec.</v>
      </c>
      <c r="E51">
        <f>regression!E51</f>
        <v>0.81427015170753003</v>
      </c>
      <c r="F51">
        <f>regression!F51</f>
        <v>0.58822069356306095</v>
      </c>
      <c r="G51">
        <f>regression!G51</f>
        <v>0.63600000000000001</v>
      </c>
      <c r="H51">
        <f>regression!H51</f>
        <v>0.48599999999999999</v>
      </c>
      <c r="I51">
        <f t="shared" si="0"/>
        <v>0.27871855620792341</v>
      </c>
      <c r="J51">
        <f t="shared" si="1"/>
        <v>0.45960101355129424</v>
      </c>
      <c r="K51">
        <f t="shared" si="2"/>
        <v>0.24931525756040016</v>
      </c>
    </row>
    <row r="52" spans="1:11" x14ac:dyDescent="0.25">
      <c r="A52">
        <f>regression!A52</f>
        <v>2008</v>
      </c>
      <c r="B52">
        <f>regression!B52</f>
        <v>67</v>
      </c>
      <c r="C52" t="str">
        <f>regression!C52</f>
        <v>Media</v>
      </c>
      <c r="D52" t="str">
        <f>regression!D52</f>
        <v>Sr. Sec.</v>
      </c>
      <c r="E52">
        <f>regression!E52</f>
        <v>0.5884418302655221</v>
      </c>
      <c r="F52">
        <f>regression!F52</f>
        <v>0.21274946494309407</v>
      </c>
      <c r="G52">
        <f>regression!G52</f>
        <v>0.48199999999999998</v>
      </c>
      <c r="H52">
        <f>regression!H52</f>
        <v>0.92</v>
      </c>
      <c r="I52">
        <f t="shared" si="0"/>
        <v>-0.31232317935341225</v>
      </c>
      <c r="J52">
        <f t="shared" si="1"/>
        <v>0.3672081651435305</v>
      </c>
      <c r="K52">
        <f t="shared" si="2"/>
        <v>0.14992867419479092</v>
      </c>
    </row>
    <row r="53" spans="1:11" x14ac:dyDescent="0.25">
      <c r="A53">
        <f>regression!A53</f>
        <v>2008</v>
      </c>
      <c r="B53">
        <f>regression!B53</f>
        <v>69</v>
      </c>
      <c r="C53" t="str">
        <f>regression!C53</f>
        <v>Retail</v>
      </c>
      <c r="D53" t="str">
        <f>regression!D53</f>
        <v>Sr. Unsec.</v>
      </c>
      <c r="E53">
        <f>regression!E53</f>
        <v>0.51315197463661422</v>
      </c>
      <c r="F53">
        <f>regression!F53</f>
        <v>0.26674419351554757</v>
      </c>
      <c r="G53">
        <f>regression!G53</f>
        <v>0.63600000000000001</v>
      </c>
      <c r="H53">
        <f>regression!H53</f>
        <v>1.802</v>
      </c>
      <c r="I53">
        <f t="shared" si="0"/>
        <v>-0.48341998189655522</v>
      </c>
      <c r="J53">
        <f t="shared" si="1"/>
        <v>0.38049474049618526</v>
      </c>
      <c r="K53">
        <f t="shared" si="2"/>
        <v>0.55024329341518874</v>
      </c>
    </row>
    <row r="54" spans="1:11" x14ac:dyDescent="0.25">
      <c r="A54">
        <f>regression!A54</f>
        <v>2008</v>
      </c>
      <c r="B54">
        <f>regression!B54</f>
        <v>70</v>
      </c>
      <c r="C54" t="str">
        <f>regression!C54</f>
        <v>Retail</v>
      </c>
      <c r="D54" t="str">
        <f>regression!D54</f>
        <v>Sr. Sub.</v>
      </c>
      <c r="E54">
        <f>regression!E54</f>
        <v>0.90196679730415341</v>
      </c>
      <c r="F54">
        <f>regression!F54</f>
        <v>0.61422901981538724</v>
      </c>
      <c r="G54">
        <f>regression!G54</f>
        <v>0.68120000000000003</v>
      </c>
      <c r="H54">
        <f>regression!H54</f>
        <v>1.802</v>
      </c>
      <c r="I54">
        <f t="shared" si="0"/>
        <v>0.6234321116824415</v>
      </c>
      <c r="J54">
        <f t="shared" si="1"/>
        <v>0.46600092694440015</v>
      </c>
      <c r="K54">
        <f t="shared" si="2"/>
        <v>0.59986652032980403</v>
      </c>
    </row>
    <row r="55" spans="1:11" x14ac:dyDescent="0.25">
      <c r="A55">
        <f>regression!A55</f>
        <v>2008</v>
      </c>
      <c r="B55">
        <f>regression!B55</f>
        <v>71</v>
      </c>
      <c r="C55" t="str">
        <f>regression!C55</f>
        <v>Energy</v>
      </c>
      <c r="D55" t="str">
        <f>regression!D55</f>
        <v>Sr. Unsec.</v>
      </c>
      <c r="E55">
        <f>regression!E55</f>
        <v>0.71386329823732375</v>
      </c>
      <c r="F55">
        <f>regression!F55</f>
        <v>0.21185460174659365</v>
      </c>
      <c r="G55">
        <f>regression!G55</f>
        <v>0.63600000000000001</v>
      </c>
      <c r="H55">
        <f>regression!H55</f>
        <v>0</v>
      </c>
      <c r="I55">
        <f t="shared" si="0"/>
        <v>-9.4427427086443382E-3</v>
      </c>
      <c r="J55">
        <f t="shared" si="1"/>
        <v>0.36698796462386929</v>
      </c>
      <c r="K55">
        <f t="shared" si="2"/>
        <v>0.1963804881706753</v>
      </c>
    </row>
    <row r="56" spans="1:11" x14ac:dyDescent="0.25">
      <c r="A56">
        <f>regression!A56</f>
        <v>2008</v>
      </c>
      <c r="B56">
        <f>regression!B56</f>
        <v>72</v>
      </c>
      <c r="C56" t="str">
        <f>regression!C56</f>
        <v>Tech</v>
      </c>
      <c r="D56" t="str">
        <f>regression!D56</f>
        <v>Sr. Unsec.</v>
      </c>
      <c r="E56">
        <f>regression!E56</f>
        <v>0.34513852508664133</v>
      </c>
      <c r="F56">
        <f>regression!F56</f>
        <v>0.2918426605624857</v>
      </c>
      <c r="G56">
        <f>regression!G56</f>
        <v>0.63600000000000001</v>
      </c>
      <c r="H56">
        <f>regression!H56</f>
        <v>0.48599999999999999</v>
      </c>
      <c r="I56">
        <f t="shared" si="0"/>
        <v>-0.87614624448937939</v>
      </c>
      <c r="J56">
        <f t="shared" si="1"/>
        <v>0.38667076327603478</v>
      </c>
      <c r="K56">
        <f t="shared" si="2"/>
        <v>0.27119438404500262</v>
      </c>
    </row>
    <row r="57" spans="1:11" x14ac:dyDescent="0.25">
      <c r="A57">
        <f>regression!A57</f>
        <v>2008</v>
      </c>
      <c r="B57">
        <f>regression!B57</f>
        <v>74</v>
      </c>
      <c r="C57" t="str">
        <f>regression!C57</f>
        <v>Media</v>
      </c>
      <c r="D57" t="str">
        <f>regression!D57</f>
        <v>Sr. Unsec.</v>
      </c>
      <c r="E57">
        <f>regression!E57</f>
        <v>0.51023453762352466</v>
      </c>
      <c r="F57">
        <f>regression!F57</f>
        <v>0.53678691651575272</v>
      </c>
      <c r="G57">
        <f>regression!G57</f>
        <v>0.63600000000000001</v>
      </c>
      <c r="H57">
        <f>regression!H57</f>
        <v>0.92</v>
      </c>
      <c r="I57">
        <f t="shared" si="0"/>
        <v>-0.4900168987434137</v>
      </c>
      <c r="J57">
        <f t="shared" si="1"/>
        <v>0.44694461592733536</v>
      </c>
      <c r="K57">
        <f t="shared" si="2"/>
        <v>0.33447062564371222</v>
      </c>
    </row>
    <row r="58" spans="1:11" x14ac:dyDescent="0.25">
      <c r="A58">
        <f>regression!A58</f>
        <v>2008</v>
      </c>
      <c r="B58">
        <f>regression!B58</f>
        <v>76</v>
      </c>
      <c r="C58" t="str">
        <f>regression!C58</f>
        <v>Retail</v>
      </c>
      <c r="D58" t="str">
        <f>regression!D58</f>
        <v>Sr. Unsec.</v>
      </c>
      <c r="E58">
        <f>regression!E58</f>
        <v>0.76185368344187743</v>
      </c>
      <c r="F58">
        <f>regression!F58</f>
        <v>0.32164929729042352</v>
      </c>
      <c r="G58">
        <f>regression!G58</f>
        <v>0.63600000000000001</v>
      </c>
      <c r="H58">
        <f>regression!H58</f>
        <v>1.802</v>
      </c>
      <c r="I58">
        <f t="shared" si="0"/>
        <v>0.1202599847568081</v>
      </c>
      <c r="J58">
        <f t="shared" si="1"/>
        <v>0.39400533343437044</v>
      </c>
      <c r="K58">
        <f t="shared" si="2"/>
        <v>0.54512242196120153</v>
      </c>
    </row>
    <row r="59" spans="1:11" x14ac:dyDescent="0.25">
      <c r="A59">
        <f>regression!A59</f>
        <v>2008</v>
      </c>
      <c r="B59">
        <f>regression!B59</f>
        <v>76</v>
      </c>
      <c r="C59" t="str">
        <f>regression!C59</f>
        <v>Retail</v>
      </c>
      <c r="D59" t="str">
        <f>regression!D59</f>
        <v>Sr. Sub.</v>
      </c>
      <c r="E59">
        <f>regression!E59</f>
        <v>0.9477402786612511</v>
      </c>
      <c r="F59">
        <f>regression!F59</f>
        <v>0.32164929729042352</v>
      </c>
      <c r="G59">
        <f>regression!G59</f>
        <v>0.68120000000000003</v>
      </c>
      <c r="H59">
        <f>regression!H59</f>
        <v>1.802</v>
      </c>
      <c r="I59">
        <f t="shared" si="0"/>
        <v>0.90525393941836141</v>
      </c>
      <c r="J59">
        <f t="shared" si="1"/>
        <v>0.39400533343437044</v>
      </c>
      <c r="K59">
        <f t="shared" si="2"/>
        <v>0.62642261125954746</v>
      </c>
    </row>
    <row r="60" spans="1:11" x14ac:dyDescent="0.25">
      <c r="A60">
        <f>regression!A60</f>
        <v>2008</v>
      </c>
      <c r="B60">
        <f>regression!B60</f>
        <v>77</v>
      </c>
      <c r="C60" t="str">
        <f>regression!C60</f>
        <v>Tech</v>
      </c>
      <c r="D60" t="str">
        <f>regression!D60</f>
        <v>Sr. Sub.</v>
      </c>
      <c r="E60">
        <f>regression!E60</f>
        <v>0.92564317133724694</v>
      </c>
      <c r="F60">
        <f>regression!F60</f>
        <v>0.2797087420340863</v>
      </c>
      <c r="G60">
        <f>regression!G60</f>
        <v>0.68120000000000003</v>
      </c>
      <c r="H60">
        <f>regression!H60</f>
        <v>0.48599999999999999</v>
      </c>
      <c r="I60">
        <f t="shared" si="0"/>
        <v>0.75279621129529706</v>
      </c>
      <c r="J60">
        <f t="shared" si="1"/>
        <v>0.38368494915838031</v>
      </c>
      <c r="K60">
        <f t="shared" si="2"/>
        <v>0.34310557842365896</v>
      </c>
    </row>
    <row r="61" spans="1:11" x14ac:dyDescent="0.25">
      <c r="A61">
        <f>regression!A61</f>
        <v>2008</v>
      </c>
      <c r="B61">
        <f>regression!B61</f>
        <v>78</v>
      </c>
      <c r="C61" t="str">
        <f>regression!C61</f>
        <v>Energy</v>
      </c>
      <c r="D61" t="str">
        <f>regression!D61</f>
        <v>Sr. Sec.</v>
      </c>
      <c r="E61">
        <f>regression!E61</f>
        <v>3.744355867767335E-2</v>
      </c>
      <c r="F61">
        <f>regression!F61</f>
        <v>0.24778868787631703</v>
      </c>
      <c r="G61">
        <f>regression!G61</f>
        <v>0.48199999999999998</v>
      </c>
      <c r="H61">
        <f>regression!H61</f>
        <v>0</v>
      </c>
      <c r="I61">
        <f t="shared" si="0"/>
        <v>-2.1874692355356764</v>
      </c>
      <c r="J61">
        <f t="shared" si="1"/>
        <v>0.37583032675280736</v>
      </c>
      <c r="K61">
        <f t="shared" si="2"/>
        <v>6.2873122502428547E-2</v>
      </c>
    </row>
    <row r="62" spans="1:11" x14ac:dyDescent="0.25">
      <c r="A62">
        <f>regression!A62</f>
        <v>2008</v>
      </c>
      <c r="B62">
        <f>regression!B62</f>
        <v>79</v>
      </c>
      <c r="C62" t="str">
        <f>regression!C62</f>
        <v>Tech</v>
      </c>
      <c r="D62" t="str">
        <f>regression!D62</f>
        <v>Sr. Unsec.</v>
      </c>
      <c r="E62">
        <f>regression!E62</f>
        <v>0.88050540745258332</v>
      </c>
      <c r="F62">
        <f>regression!F62</f>
        <v>0.33122836011382145</v>
      </c>
      <c r="G62">
        <f>regression!G62</f>
        <v>0.63600000000000001</v>
      </c>
      <c r="H62">
        <f>regression!H62</f>
        <v>0.48599999999999999</v>
      </c>
      <c r="I62">
        <f t="shared" si="0"/>
        <v>0.52433792719814865</v>
      </c>
      <c r="J62">
        <f t="shared" si="1"/>
        <v>0.39636246983223394</v>
      </c>
      <c r="K62">
        <f t="shared" si="2"/>
        <v>0.26822867103779474</v>
      </c>
    </row>
    <row r="63" spans="1:11" x14ac:dyDescent="0.25">
      <c r="A63">
        <f>regression!A63</f>
        <v>2008</v>
      </c>
      <c r="B63">
        <f>regression!B63</f>
        <v>80</v>
      </c>
      <c r="C63" t="str">
        <f>regression!C63</f>
        <v>Transp</v>
      </c>
      <c r="D63" t="str">
        <f>regression!D63</f>
        <v>Sr. Sec.</v>
      </c>
      <c r="E63">
        <f>regression!E63</f>
        <v>0.44658885968923567</v>
      </c>
      <c r="F63">
        <f>regression!F63</f>
        <v>0.56338273141383655</v>
      </c>
      <c r="G63">
        <f>regression!G63</f>
        <v>0.48199999999999998</v>
      </c>
      <c r="H63">
        <f>regression!H63</f>
        <v>0</v>
      </c>
      <c r="I63">
        <f t="shared" si="0"/>
        <v>-0.63476812074199529</v>
      </c>
      <c r="J63">
        <f t="shared" si="1"/>
        <v>0.45348909365786938</v>
      </c>
      <c r="K63">
        <f t="shared" si="2"/>
        <v>5.4797777745323871E-2</v>
      </c>
    </row>
    <row r="64" spans="1:11" x14ac:dyDescent="0.25">
      <c r="A64">
        <f>regression!A64</f>
        <v>2008</v>
      </c>
      <c r="B64">
        <f>regression!B64</f>
        <v>81</v>
      </c>
      <c r="C64" t="str">
        <f>regression!C64</f>
        <v>Retail</v>
      </c>
      <c r="D64" t="str">
        <f>regression!D64</f>
        <v>Sr. Unsec.</v>
      </c>
      <c r="E64">
        <f>regression!E64</f>
        <v>0.74106035563117267</v>
      </c>
      <c r="F64">
        <f>regression!F64</f>
        <v>0.92494487850163598</v>
      </c>
      <c r="G64">
        <f>regression!G64</f>
        <v>0.63600000000000001</v>
      </c>
      <c r="H64">
        <f>regression!H64</f>
        <v>1.802</v>
      </c>
      <c r="I64">
        <f t="shared" si="0"/>
        <v>6.264507810650688E-2</v>
      </c>
      <c r="J64">
        <f t="shared" si="1"/>
        <v>0.54245931054679186</v>
      </c>
      <c r="K64">
        <f t="shared" si="2"/>
        <v>0.48873729191911952</v>
      </c>
    </row>
    <row r="65" spans="1:11" x14ac:dyDescent="0.25">
      <c r="A65">
        <f>regression!A65</f>
        <v>2008</v>
      </c>
      <c r="B65">
        <f>regression!B65</f>
        <v>81</v>
      </c>
      <c r="C65" t="str">
        <f>regression!C65</f>
        <v>Retail</v>
      </c>
      <c r="D65" t="str">
        <f>regression!D65</f>
        <v>Sr. Sub.</v>
      </c>
      <c r="E65">
        <f>regression!E65</f>
        <v>0.89810229246509077</v>
      </c>
      <c r="F65">
        <f>regression!F65</f>
        <v>0.92494487850163598</v>
      </c>
      <c r="G65">
        <f>regression!G65</f>
        <v>0.68120000000000003</v>
      </c>
      <c r="H65">
        <f>regression!H65</f>
        <v>1.802</v>
      </c>
      <c r="I65">
        <f t="shared" si="0"/>
        <v>0.60453546587430584</v>
      </c>
      <c r="J65">
        <f t="shared" si="1"/>
        <v>0.54245931054679186</v>
      </c>
      <c r="K65">
        <f t="shared" si="2"/>
        <v>0.57124010778171508</v>
      </c>
    </row>
    <row r="66" spans="1:11" x14ac:dyDescent="0.25">
      <c r="A66">
        <f>regression!A66</f>
        <v>2008</v>
      </c>
      <c r="B66">
        <f>regression!B66</f>
        <v>82</v>
      </c>
      <c r="C66" t="str">
        <f>regression!C66</f>
        <v>Tech</v>
      </c>
      <c r="D66" t="str">
        <f>regression!D66</f>
        <v>Sr. Sub.</v>
      </c>
      <c r="E66">
        <f>regression!E66</f>
        <v>0.93325690681934359</v>
      </c>
      <c r="F66">
        <f>regression!F66</f>
        <v>0.81772805058931131</v>
      </c>
      <c r="G66">
        <f>regression!G66</f>
        <v>0.68120000000000003</v>
      </c>
      <c r="H66">
        <f>regression!H66</f>
        <v>0.48599999999999999</v>
      </c>
      <c r="I66">
        <f t="shared" si="0"/>
        <v>0.80087045169737137</v>
      </c>
      <c r="J66">
        <f t="shared" si="1"/>
        <v>0.5160762820402558</v>
      </c>
      <c r="K66">
        <f t="shared" si="2"/>
        <v>0.29894897707407203</v>
      </c>
    </row>
    <row r="67" spans="1:11" x14ac:dyDescent="0.25">
      <c r="A67">
        <f>regression!A67</f>
        <v>2008</v>
      </c>
      <c r="B67">
        <f>regression!B67</f>
        <v>83</v>
      </c>
      <c r="C67" t="str">
        <f>regression!C67</f>
        <v>Transp</v>
      </c>
      <c r="D67" t="str">
        <f>regression!D67</f>
        <v>Sr. Sec.</v>
      </c>
      <c r="E67">
        <f>regression!E67</f>
        <v>0.75077997510433203</v>
      </c>
      <c r="F67">
        <f>regression!F67</f>
        <v>0.54429782382962077</v>
      </c>
      <c r="G67">
        <f>regression!G67</f>
        <v>0.48199999999999998</v>
      </c>
      <c r="H67">
        <f>regression!H67</f>
        <v>0</v>
      </c>
      <c r="I67">
        <f t="shared" ref="I67:I130" si="3">NORMSINV(BETADIST(E67,N$14,N$15))</f>
        <v>8.9276103440682264E-2</v>
      </c>
      <c r="J67">
        <f t="shared" si="1"/>
        <v>0.44879283775622381</v>
      </c>
      <c r="K67">
        <f t="shared" si="2"/>
        <v>5.5260981958725183E-2</v>
      </c>
    </row>
    <row r="68" spans="1:11" x14ac:dyDescent="0.25">
      <c r="A68">
        <f>regression!A68</f>
        <v>2008</v>
      </c>
      <c r="B68">
        <f>regression!B68</f>
        <v>83</v>
      </c>
      <c r="C68" t="str">
        <f>regression!C68</f>
        <v>Transp</v>
      </c>
      <c r="D68" t="str">
        <f>regression!D68</f>
        <v>Sr. Unsec.</v>
      </c>
      <c r="E68">
        <f>regression!E68</f>
        <v>0.96189763247966764</v>
      </c>
      <c r="F68">
        <f>regression!F68</f>
        <v>0.54429782382962077</v>
      </c>
      <c r="G68">
        <f>regression!G68</f>
        <v>0.63600000000000001</v>
      </c>
      <c r="H68">
        <f>regression!H68</f>
        <v>0</v>
      </c>
      <c r="I68">
        <f t="shared" si="3"/>
        <v>1.0320214586816956</v>
      </c>
      <c r="J68">
        <f t="shared" si="1"/>
        <v>0.44879283775622381</v>
      </c>
      <c r="K68">
        <f t="shared" si="2"/>
        <v>0.17633820436467118</v>
      </c>
    </row>
    <row r="69" spans="1:11" x14ac:dyDescent="0.25">
      <c r="A69">
        <f>regression!A69</f>
        <v>2008</v>
      </c>
      <c r="B69">
        <f>regression!B69</f>
        <v>84</v>
      </c>
      <c r="C69" t="str">
        <f>regression!C69</f>
        <v>Media</v>
      </c>
      <c r="D69" t="str">
        <f>regression!D69</f>
        <v>Sr. Sub.</v>
      </c>
      <c r="E69">
        <f>regression!E69</f>
        <v>0.98439273302692176</v>
      </c>
      <c r="F69">
        <f>regression!F69</f>
        <v>0.694189569064391</v>
      </c>
      <c r="G69">
        <f>regression!G69</f>
        <v>0.68120000000000003</v>
      </c>
      <c r="H69">
        <f>regression!H69</f>
        <v>0.92</v>
      </c>
      <c r="I69">
        <f t="shared" si="3"/>
        <v>1.3520525403620485</v>
      </c>
      <c r="J69">
        <f t="shared" si="1"/>
        <v>0.48567695627031759</v>
      </c>
      <c r="K69">
        <f t="shared" si="2"/>
        <v>0.39743902952027216</v>
      </c>
    </row>
    <row r="70" spans="1:11" x14ac:dyDescent="0.25">
      <c r="A70">
        <f>regression!A70</f>
        <v>2008</v>
      </c>
      <c r="B70">
        <f>regression!B70</f>
        <v>85</v>
      </c>
      <c r="C70" t="str">
        <f>regression!C70</f>
        <v>Media</v>
      </c>
      <c r="D70" t="str">
        <f>regression!D70</f>
        <v>Sr. Unsec.</v>
      </c>
      <c r="E70">
        <f>regression!E70</f>
        <v>0.7403414081335068</v>
      </c>
      <c r="F70">
        <f>regression!F70</f>
        <v>0.40868145153032109</v>
      </c>
      <c r="G70">
        <f>regression!G70</f>
        <v>0.63600000000000001</v>
      </c>
      <c r="H70">
        <f>regression!H70</f>
        <v>0.92</v>
      </c>
      <c r="I70">
        <f t="shared" si="3"/>
        <v>6.0694832368729197E-2</v>
      </c>
      <c r="J70">
        <f t="shared" si="1"/>
        <v>0.41542148471403834</v>
      </c>
      <c r="K70">
        <f t="shared" si="2"/>
        <v>0.34526246867861449</v>
      </c>
    </row>
    <row r="71" spans="1:11" x14ac:dyDescent="0.25">
      <c r="A71">
        <f>regression!A71</f>
        <v>2008</v>
      </c>
      <c r="B71">
        <f>regression!B71</f>
        <v>86</v>
      </c>
      <c r="C71" t="str">
        <f>regression!C71</f>
        <v>Cons G</v>
      </c>
      <c r="D71" t="str">
        <f>regression!D71</f>
        <v>Sr. Sec.</v>
      </c>
      <c r="E71">
        <f>regression!E71</f>
        <v>0.5812522217988968</v>
      </c>
      <c r="F71">
        <f>regression!F71</f>
        <v>0.56725366780919362</v>
      </c>
      <c r="G71">
        <f>regression!G71</f>
        <v>0.48199999999999998</v>
      </c>
      <c r="H71">
        <f>regression!H71</f>
        <v>0.65100000000000002</v>
      </c>
      <c r="I71">
        <f t="shared" si="3"/>
        <v>-0.32881849071464914</v>
      </c>
      <c r="J71">
        <f t="shared" si="1"/>
        <v>0.45444162160757895</v>
      </c>
      <c r="K71">
        <f t="shared" si="2"/>
        <v>0.10406738818473005</v>
      </c>
    </row>
    <row r="72" spans="1:11" x14ac:dyDescent="0.25">
      <c r="A72">
        <f>regression!A72</f>
        <v>2008</v>
      </c>
      <c r="B72">
        <f>regression!B72</f>
        <v>87</v>
      </c>
      <c r="C72" t="str">
        <f>regression!C72</f>
        <v>Tech</v>
      </c>
      <c r="D72" t="str">
        <f>regression!D72</f>
        <v>Sr. Unsec.</v>
      </c>
      <c r="E72">
        <f>regression!E72</f>
        <v>0.37784654041051868</v>
      </c>
      <c r="F72">
        <f>regression!F72</f>
        <v>0.73434035507544626</v>
      </c>
      <c r="G72">
        <f>regression!G72</f>
        <v>0.63600000000000001</v>
      </c>
      <c r="H72">
        <f>regression!H72</f>
        <v>0.48599999999999999</v>
      </c>
      <c r="I72">
        <f t="shared" si="3"/>
        <v>-0.79603312703478535</v>
      </c>
      <c r="J72">
        <f t="shared" si="1"/>
        <v>0.49555692896225112</v>
      </c>
      <c r="K72">
        <f t="shared" si="2"/>
        <v>0.23890809471314386</v>
      </c>
    </row>
    <row r="73" spans="1:11" x14ac:dyDescent="0.25">
      <c r="A73">
        <f>regression!A73</f>
        <v>2008</v>
      </c>
      <c r="B73">
        <f>regression!B73</f>
        <v>87</v>
      </c>
      <c r="C73" t="str">
        <f>regression!C73</f>
        <v>Tech</v>
      </c>
      <c r="D73" t="str">
        <f>regression!D73</f>
        <v>Sub.</v>
      </c>
      <c r="E73">
        <f>regression!E73</f>
        <v>0.24836604337394241</v>
      </c>
      <c r="F73">
        <f>regression!F73</f>
        <v>0.73434035507544626</v>
      </c>
      <c r="G73">
        <f>regression!G73</f>
        <v>0.71120000000000005</v>
      </c>
      <c r="H73">
        <f>regression!H73</f>
        <v>0.48599999999999999</v>
      </c>
      <c r="I73">
        <f t="shared" si="3"/>
        <v>-1.136226133357829</v>
      </c>
      <c r="J73">
        <f t="shared" si="1"/>
        <v>0.49555692896225112</v>
      </c>
      <c r="K73">
        <f t="shared" si="2"/>
        <v>0.35435614139544852</v>
      </c>
    </row>
    <row r="74" spans="1:11" x14ac:dyDescent="0.25">
      <c r="A74">
        <f>regression!A74</f>
        <v>2008</v>
      </c>
      <c r="B74">
        <f>regression!B74</f>
        <v>88</v>
      </c>
      <c r="C74" t="str">
        <f>regression!C74</f>
        <v>Retail</v>
      </c>
      <c r="D74" t="str">
        <f>regression!D74</f>
        <v>Sr. Sub.</v>
      </c>
      <c r="E74">
        <f>regression!E74</f>
        <v>0.99</v>
      </c>
      <c r="F74">
        <f>regression!F74</f>
        <v>0.52206271546701233</v>
      </c>
      <c r="G74">
        <f>regression!G74</f>
        <v>0.68120000000000003</v>
      </c>
      <c r="H74">
        <f>regression!H74</f>
        <v>1.802</v>
      </c>
      <c r="I74">
        <f t="shared" si="3"/>
        <v>1.4954060676963419</v>
      </c>
      <c r="J74">
        <f t="shared" si="1"/>
        <v>0.44332140655275332</v>
      </c>
      <c r="K74">
        <f t="shared" si="2"/>
        <v>0.60827998076299117</v>
      </c>
    </row>
    <row r="75" spans="1:11" x14ac:dyDescent="0.25">
      <c r="A75">
        <f>regression!A75</f>
        <v>2008</v>
      </c>
      <c r="B75">
        <f>regression!B75</f>
        <v>89</v>
      </c>
      <c r="C75" t="str">
        <f>regression!C75</f>
        <v>Retail</v>
      </c>
      <c r="D75" t="str">
        <f>regression!D75</f>
        <v>Sr. Sub.</v>
      </c>
      <c r="E75">
        <f>regression!E75</f>
        <v>0.87525740684866904</v>
      </c>
      <c r="F75">
        <f>regression!F75</f>
        <v>0.95318870342777562</v>
      </c>
      <c r="G75">
        <f>regression!G75</f>
        <v>0.68120000000000003</v>
      </c>
      <c r="H75">
        <f>regression!H75</f>
        <v>1.802</v>
      </c>
      <c r="I75">
        <f t="shared" si="3"/>
        <v>0.50201246833159874</v>
      </c>
      <c r="J75">
        <f t="shared" si="1"/>
        <v>0.54940931692796635</v>
      </c>
      <c r="K75">
        <f t="shared" si="2"/>
        <v>0.56862138958164754</v>
      </c>
    </row>
    <row r="76" spans="1:11" x14ac:dyDescent="0.25">
      <c r="A76">
        <f>regression!A76</f>
        <v>2008</v>
      </c>
      <c r="B76">
        <f>regression!B76</f>
        <v>90</v>
      </c>
      <c r="C76" t="str">
        <f>regression!C76</f>
        <v>Media</v>
      </c>
      <c r="D76" t="str">
        <f>regression!D76</f>
        <v>Sr. Unsec.</v>
      </c>
      <c r="E76">
        <f>regression!E76</f>
        <v>0.91139864739155774</v>
      </c>
      <c r="F76">
        <f>regression!F76</f>
        <v>0.83699916150606346</v>
      </c>
      <c r="G76">
        <f>regression!G76</f>
        <v>0.63600000000000001</v>
      </c>
      <c r="H76">
        <f>regression!H76</f>
        <v>0.92</v>
      </c>
      <c r="I76">
        <f t="shared" si="3"/>
        <v>0.67190189761887575</v>
      </c>
      <c r="J76">
        <f t="shared" si="1"/>
        <v>0.52081835731490433</v>
      </c>
      <c r="K76">
        <f t="shared" si="2"/>
        <v>0.3097768391549694</v>
      </c>
    </row>
    <row r="77" spans="1:11" x14ac:dyDescent="0.25">
      <c r="A77">
        <f>regression!A77</f>
        <v>2008</v>
      </c>
      <c r="B77">
        <f>regression!B77</f>
        <v>92</v>
      </c>
      <c r="C77" t="str">
        <f>regression!C77</f>
        <v>Tech</v>
      </c>
      <c r="D77" t="str">
        <f>regression!D77</f>
        <v>Sr. Unsec.</v>
      </c>
      <c r="E77">
        <f>regression!E77</f>
        <v>0.89476252312660221</v>
      </c>
      <c r="F77">
        <f>regression!F77</f>
        <v>0.74755604917707652</v>
      </c>
      <c r="G77">
        <f>regression!G77</f>
        <v>0.63600000000000001</v>
      </c>
      <c r="H77">
        <f>regression!H77</f>
        <v>0.48599999999999999</v>
      </c>
      <c r="I77">
        <f t="shared" si="3"/>
        <v>0.58860923875048632</v>
      </c>
      <c r="J77">
        <f t="shared" si="1"/>
        <v>0.49880893744828925</v>
      </c>
      <c r="K77">
        <f t="shared" si="2"/>
        <v>0.2379794541063395</v>
      </c>
    </row>
    <row r="78" spans="1:11" x14ac:dyDescent="0.25">
      <c r="A78">
        <f>regression!A78</f>
        <v>2008</v>
      </c>
      <c r="B78">
        <f>regression!B78</f>
        <v>94</v>
      </c>
      <c r="C78" t="str">
        <f>regression!C78</f>
        <v>Retail</v>
      </c>
      <c r="D78" t="str">
        <f>regression!D78</f>
        <v>Sr. Unsec.</v>
      </c>
      <c r="E78">
        <f>regression!E78</f>
        <v>0.97135278132557867</v>
      </c>
      <c r="F78">
        <f>regression!F78</f>
        <v>0.61874319906178898</v>
      </c>
      <c r="G78">
        <f>regression!G78</f>
        <v>0.63600000000000001</v>
      </c>
      <c r="H78">
        <f>regression!H78</f>
        <v>1.802</v>
      </c>
      <c r="I78">
        <f t="shared" si="3"/>
        <v>1.1398006919803985</v>
      </c>
      <c r="J78">
        <f t="shared" si="1"/>
        <v>0.46711173876433965</v>
      </c>
      <c r="K78">
        <f t="shared" si="2"/>
        <v>0.51735464916992169</v>
      </c>
    </row>
    <row r="79" spans="1:11" x14ac:dyDescent="0.25">
      <c r="A79">
        <f>regression!A79</f>
        <v>2008</v>
      </c>
      <c r="B79">
        <f>regression!B79</f>
        <v>95</v>
      </c>
      <c r="C79" t="str">
        <f>regression!C79</f>
        <v>Cons G</v>
      </c>
      <c r="D79" t="str">
        <f>regression!D79</f>
        <v>Sr. Sec.</v>
      </c>
      <c r="E79">
        <f>regression!E79</f>
        <v>0.41494040352106099</v>
      </c>
      <c r="F79">
        <f>regression!F79</f>
        <v>0.19787458683197831</v>
      </c>
      <c r="G79">
        <f>regression!G79</f>
        <v>0.48199999999999998</v>
      </c>
      <c r="H79">
        <f>regression!H79</f>
        <v>0.65100000000000002</v>
      </c>
      <c r="I79">
        <f t="shared" si="3"/>
        <v>-0.70807636032922772</v>
      </c>
      <c r="J79">
        <f t="shared" si="1"/>
        <v>0.36354787840610031</v>
      </c>
      <c r="K79">
        <f t="shared" si="2"/>
        <v>0.1196324900152928</v>
      </c>
    </row>
    <row r="80" spans="1:11" x14ac:dyDescent="0.25">
      <c r="A80">
        <f>regression!A80</f>
        <v>2008</v>
      </c>
      <c r="B80">
        <f>regression!B80</f>
        <v>96</v>
      </c>
      <c r="C80" t="str">
        <f>regression!C80</f>
        <v>Retail</v>
      </c>
      <c r="D80" t="str">
        <f>regression!D80</f>
        <v>Sr. Sub.</v>
      </c>
      <c r="E80">
        <f>regression!E80</f>
        <v>0.96787419640171524</v>
      </c>
      <c r="F80">
        <f>regression!F80</f>
        <v>0.66301312007118229</v>
      </c>
      <c r="G80">
        <f>regression!G80</f>
        <v>0.68120000000000003</v>
      </c>
      <c r="H80">
        <f>regression!H80</f>
        <v>1.802</v>
      </c>
      <c r="I80">
        <f t="shared" si="3"/>
        <v>1.0971903781590879</v>
      </c>
      <c r="J80">
        <f t="shared" si="1"/>
        <v>0.4780053140613818</v>
      </c>
      <c r="K80">
        <f t="shared" si="2"/>
        <v>0.595397306584182</v>
      </c>
    </row>
    <row r="81" spans="1:11" x14ac:dyDescent="0.25">
      <c r="A81">
        <f>regression!A81</f>
        <v>2008</v>
      </c>
      <c r="B81">
        <f>regression!B81</f>
        <v>97</v>
      </c>
      <c r="C81" t="str">
        <f>regression!C81</f>
        <v>Media</v>
      </c>
      <c r="D81" t="str">
        <f>regression!D81</f>
        <v>Sr. Unsec.</v>
      </c>
      <c r="E81">
        <f>regression!E81</f>
        <v>0.96173890941143036</v>
      </c>
      <c r="F81">
        <f>regression!F81</f>
        <v>0.31763891494624574</v>
      </c>
      <c r="G81">
        <f>regression!G81</f>
        <v>0.63600000000000001</v>
      </c>
      <c r="H81">
        <f>regression!H81</f>
        <v>0.92</v>
      </c>
      <c r="I81">
        <f t="shared" si="3"/>
        <v>1.0304064597533167</v>
      </c>
      <c r="J81">
        <f t="shared" si="1"/>
        <v>0.39301849178116399</v>
      </c>
      <c r="K81">
        <f t="shared" si="2"/>
        <v>0.3530188351034339</v>
      </c>
    </row>
    <row r="82" spans="1:11" x14ac:dyDescent="0.25">
      <c r="A82">
        <f>regression!A82</f>
        <v>2008</v>
      </c>
      <c r="B82">
        <f>regression!B82</f>
        <v>97</v>
      </c>
      <c r="C82" t="str">
        <f>regression!C82</f>
        <v>Media</v>
      </c>
      <c r="D82" t="str">
        <f>regression!D82</f>
        <v>Sub.</v>
      </c>
      <c r="E82">
        <f>regression!E82</f>
        <v>0.99</v>
      </c>
      <c r="F82">
        <f>regression!F82</f>
        <v>0.31763891494624574</v>
      </c>
      <c r="G82">
        <f>regression!G82</f>
        <v>0.71120000000000005</v>
      </c>
      <c r="H82">
        <f>regression!H82</f>
        <v>0.92</v>
      </c>
      <c r="I82">
        <f t="shared" si="3"/>
        <v>1.4954060676963419</v>
      </c>
      <c r="J82">
        <f t="shared" si="1"/>
        <v>0.39301849178116399</v>
      </c>
      <c r="K82">
        <f t="shared" si="2"/>
        <v>0.48571891567768044</v>
      </c>
    </row>
    <row r="83" spans="1:11" x14ac:dyDescent="0.25">
      <c r="A83">
        <f>regression!A83</f>
        <v>2008</v>
      </c>
      <c r="B83">
        <f>regression!B83</f>
        <v>101</v>
      </c>
      <c r="C83" t="str">
        <f>regression!C83</f>
        <v>Retail</v>
      </c>
      <c r="D83" t="str">
        <f>regression!D83</f>
        <v>Sr. Sub.</v>
      </c>
      <c r="E83">
        <f>regression!E83</f>
        <v>0.27172674984931955</v>
      </c>
      <c r="F83">
        <f>regression!F83</f>
        <v>8.3188082951673237E-2</v>
      </c>
      <c r="G83">
        <f>regression!G83</f>
        <v>0.68120000000000003</v>
      </c>
      <c r="H83">
        <f>regression!H83</f>
        <v>1.802</v>
      </c>
      <c r="I83">
        <f t="shared" si="3"/>
        <v>-1.0692670850140009</v>
      </c>
      <c r="J83">
        <f t="shared" si="1"/>
        <v>0.33532677393858756</v>
      </c>
      <c r="K83">
        <f t="shared" si="2"/>
        <v>0.64769323946950919</v>
      </c>
    </row>
    <row r="84" spans="1:11" x14ac:dyDescent="0.25">
      <c r="A84">
        <f>regression!A84</f>
        <v>2008</v>
      </c>
      <c r="B84">
        <f>regression!B84</f>
        <v>103</v>
      </c>
      <c r="C84" t="str">
        <f>regression!C84</f>
        <v>Transp</v>
      </c>
      <c r="D84" t="str">
        <f>regression!D84</f>
        <v>Sr. Sec.</v>
      </c>
      <c r="E84">
        <f>regression!E84</f>
        <v>0.69783712044209245</v>
      </c>
      <c r="F84">
        <f>regression!F84</f>
        <v>0.37310963843781886</v>
      </c>
      <c r="G84">
        <f>regression!G84</f>
        <v>0.48199999999999998</v>
      </c>
      <c r="H84">
        <f>regression!H84</f>
        <v>0</v>
      </c>
      <c r="I84">
        <f t="shared" si="3"/>
        <v>-5.0487315987610477E-2</v>
      </c>
      <c r="J84">
        <f t="shared" si="1"/>
        <v>0.40666826773194198</v>
      </c>
      <c r="K84">
        <f t="shared" si="2"/>
        <v>5.9559143633831191E-2</v>
      </c>
    </row>
    <row r="85" spans="1:11" x14ac:dyDescent="0.25">
      <c r="A85">
        <f>regression!A85</f>
        <v>2008</v>
      </c>
      <c r="B85">
        <f>regression!B85</f>
        <v>104</v>
      </c>
      <c r="C85" t="str">
        <f>regression!C85</f>
        <v>Cap Ind</v>
      </c>
      <c r="D85" t="str">
        <f>regression!D85</f>
        <v>Sr. Unsec.</v>
      </c>
      <c r="E85">
        <f>regression!E85</f>
        <v>0.99</v>
      </c>
      <c r="F85">
        <f>regression!F85</f>
        <v>0.38618972479681807</v>
      </c>
      <c r="G85">
        <f>regression!G85</f>
        <v>0.63600000000000001</v>
      </c>
      <c r="H85">
        <f>regression!H85</f>
        <v>0.71499999999999997</v>
      </c>
      <c r="I85">
        <f t="shared" si="3"/>
        <v>1.4954060676963419</v>
      </c>
      <c r="J85">
        <f t="shared" si="1"/>
        <v>0.4098869069884552</v>
      </c>
      <c r="K85">
        <f t="shared" si="2"/>
        <v>0.3065757745330156</v>
      </c>
    </row>
    <row r="86" spans="1:11" x14ac:dyDescent="0.25">
      <c r="A86">
        <f>regression!A86</f>
        <v>2008</v>
      </c>
      <c r="B86">
        <f>regression!B86</f>
        <v>105</v>
      </c>
      <c r="C86" t="str">
        <f>regression!C86</f>
        <v>Media</v>
      </c>
      <c r="D86" t="str">
        <f>regression!D86</f>
        <v>Sr. Unsec.</v>
      </c>
      <c r="E86">
        <f>regression!E86</f>
        <v>0.46285301174968485</v>
      </c>
      <c r="F86">
        <f>regression!F86</f>
        <v>0.64926495066044143</v>
      </c>
      <c r="G86">
        <f>regression!G86</f>
        <v>0.63600000000000001</v>
      </c>
      <c r="H86">
        <f>regression!H86</f>
        <v>0.92</v>
      </c>
      <c r="I86">
        <f t="shared" si="3"/>
        <v>-0.59753203197162719</v>
      </c>
      <c r="J86">
        <f t="shared" si="1"/>
        <v>0.47462227846390204</v>
      </c>
      <c r="K86">
        <f t="shared" si="2"/>
        <v>0.3251180854622211</v>
      </c>
    </row>
    <row r="87" spans="1:11" x14ac:dyDescent="0.25">
      <c r="A87">
        <f>regression!A87</f>
        <v>2008</v>
      </c>
      <c r="B87">
        <f>regression!B87</f>
        <v>106</v>
      </c>
      <c r="C87" t="str">
        <f>regression!C87</f>
        <v>Media</v>
      </c>
      <c r="D87" t="str">
        <f>regression!D87</f>
        <v>Sr. Sub.</v>
      </c>
      <c r="E87">
        <f>regression!E87</f>
        <v>0.8950770333170891</v>
      </c>
      <c r="F87">
        <f>regression!F87</f>
        <v>0.44327176412729286</v>
      </c>
      <c r="G87">
        <f>regression!G87</f>
        <v>0.68120000000000003</v>
      </c>
      <c r="H87">
        <f>regression!H87</f>
        <v>0.92</v>
      </c>
      <c r="I87">
        <f t="shared" si="3"/>
        <v>0.59009370489374169</v>
      </c>
      <c r="J87">
        <f t="shared" si="1"/>
        <v>0.42393318218789167</v>
      </c>
      <c r="K87">
        <f t="shared" si="2"/>
        <v>0.42003472231021521</v>
      </c>
    </row>
    <row r="88" spans="1:11" x14ac:dyDescent="0.25">
      <c r="A88">
        <f>regression!A88</f>
        <v>2008</v>
      </c>
      <c r="B88">
        <f>regression!B88</f>
        <v>107</v>
      </c>
      <c r="C88" t="str">
        <f>regression!C88</f>
        <v>Retail</v>
      </c>
      <c r="D88" t="str">
        <f>regression!D88</f>
        <v>Sr. Unsec.</v>
      </c>
      <c r="E88">
        <f>regression!E88</f>
        <v>0.94002861753106115</v>
      </c>
      <c r="F88">
        <f>regression!F88</f>
        <v>0.42427551441304501</v>
      </c>
      <c r="G88">
        <f>regression!G88</f>
        <v>0.63600000000000001</v>
      </c>
      <c r="H88">
        <f>regression!H88</f>
        <v>1.802</v>
      </c>
      <c r="I88">
        <f t="shared" si="3"/>
        <v>0.84725200038627768</v>
      </c>
      <c r="J88">
        <f t="shared" si="1"/>
        <v>0.4192587424801798</v>
      </c>
      <c r="K88">
        <f t="shared" si="2"/>
        <v>0.53553894660880463</v>
      </c>
    </row>
    <row r="89" spans="1:11" x14ac:dyDescent="0.25">
      <c r="A89">
        <f>regression!A89</f>
        <v>2008</v>
      </c>
      <c r="B89">
        <f>regression!B89</f>
        <v>107</v>
      </c>
      <c r="C89" t="str">
        <f>regression!C89</f>
        <v>Retail</v>
      </c>
      <c r="D89" t="str">
        <f>regression!D89</f>
        <v>Sr. Sub.</v>
      </c>
      <c r="E89">
        <f>regression!E89</f>
        <v>0.99</v>
      </c>
      <c r="F89">
        <f>regression!F89</f>
        <v>0.42427551441304501</v>
      </c>
      <c r="G89">
        <f>regression!G89</f>
        <v>0.68120000000000003</v>
      </c>
      <c r="H89">
        <f>regression!H89</f>
        <v>1.802</v>
      </c>
      <c r="I89">
        <f t="shared" si="3"/>
        <v>1.4954060676963419</v>
      </c>
      <c r="J89">
        <f t="shared" si="1"/>
        <v>0.4192587424801798</v>
      </c>
      <c r="K89">
        <f t="shared" si="2"/>
        <v>0.61715987398536332</v>
      </c>
    </row>
    <row r="90" spans="1:11" x14ac:dyDescent="0.25">
      <c r="A90">
        <f>regression!A90</f>
        <v>2008</v>
      </c>
      <c r="B90">
        <f>regression!B90</f>
        <v>108</v>
      </c>
      <c r="C90" t="str">
        <f>regression!C90</f>
        <v>Tech</v>
      </c>
      <c r="D90" t="str">
        <f>regression!D90</f>
        <v>Sr. Unsec.</v>
      </c>
      <c r="E90">
        <f>regression!E90</f>
        <v>0.80151248413473364</v>
      </c>
      <c r="F90">
        <f>regression!F90</f>
        <v>0.90795402350256382</v>
      </c>
      <c r="G90">
        <f>regression!G90</f>
        <v>0.63600000000000001</v>
      </c>
      <c r="H90">
        <f>regression!H90</f>
        <v>0.48599999999999999</v>
      </c>
      <c r="I90">
        <f t="shared" si="3"/>
        <v>0.23804015507183993</v>
      </c>
      <c r="J90">
        <f t="shared" si="1"/>
        <v>0.53827834175187927</v>
      </c>
      <c r="K90">
        <f t="shared" si="2"/>
        <v>0.22687770379673242</v>
      </c>
    </row>
    <row r="91" spans="1:11" x14ac:dyDescent="0.25">
      <c r="A91">
        <f>regression!A91</f>
        <v>2008</v>
      </c>
      <c r="B91">
        <f>regression!B91</f>
        <v>109</v>
      </c>
      <c r="C91" t="str">
        <f>regression!C91</f>
        <v>Transp</v>
      </c>
      <c r="D91" t="str">
        <f>regression!D91</f>
        <v>Sr. Unsec.</v>
      </c>
      <c r="E91">
        <f>regression!E91</f>
        <v>0.71799845069324975</v>
      </c>
      <c r="F91">
        <f>regression!F91</f>
        <v>0.5730565842116091</v>
      </c>
      <c r="G91">
        <f>regression!G91</f>
        <v>0.63600000000000001</v>
      </c>
      <c r="H91">
        <f>regression!H91</f>
        <v>0</v>
      </c>
      <c r="I91">
        <f t="shared" si="3"/>
        <v>1.3086135284109187E-3</v>
      </c>
      <c r="J91">
        <f t="shared" si="1"/>
        <v>0.4558695551871022</v>
      </c>
      <c r="K91">
        <f t="shared" si="2"/>
        <v>0.17467050014476063</v>
      </c>
    </row>
    <row r="92" spans="1:11" x14ac:dyDescent="0.25">
      <c r="A92">
        <f>regression!A92</f>
        <v>2008</v>
      </c>
      <c r="B92">
        <f>regression!B92</f>
        <v>109</v>
      </c>
      <c r="C92" t="str">
        <f>regression!C92</f>
        <v>Transp</v>
      </c>
      <c r="D92" t="str">
        <f>regression!D92</f>
        <v>Sr. Sub.</v>
      </c>
      <c r="E92">
        <f>regression!E92</f>
        <v>0.46551657907664779</v>
      </c>
      <c r="F92">
        <f>regression!F92</f>
        <v>0.5730565842116091</v>
      </c>
      <c r="G92">
        <f>regression!G92</f>
        <v>0.68120000000000003</v>
      </c>
      <c r="H92">
        <f>regression!H92</f>
        <v>0</v>
      </c>
      <c r="I92">
        <f t="shared" si="3"/>
        <v>-0.59145556295347013</v>
      </c>
      <c r="J92">
        <f t="shared" si="1"/>
        <v>0.4558695551871022</v>
      </c>
      <c r="K92">
        <f t="shared" si="2"/>
        <v>0.23072020297582935</v>
      </c>
    </row>
    <row r="93" spans="1:11" x14ac:dyDescent="0.25">
      <c r="A93">
        <f>regression!A93</f>
        <v>2008</v>
      </c>
      <c r="B93">
        <f>regression!B93</f>
        <v>110</v>
      </c>
      <c r="C93" t="str">
        <f>regression!C93</f>
        <v>Cap Ind</v>
      </c>
      <c r="D93" t="str">
        <f>regression!D93</f>
        <v>Sr. Unsec.</v>
      </c>
      <c r="E93">
        <f>regression!E93</f>
        <v>0.29081846971511849</v>
      </c>
      <c r="F93">
        <f>regression!F93</f>
        <v>0.28582809913874851</v>
      </c>
      <c r="G93">
        <f>regression!G93</f>
        <v>0.63600000000000001</v>
      </c>
      <c r="H93">
        <f>regression!H93</f>
        <v>0.71499999999999997</v>
      </c>
      <c r="I93">
        <f t="shared" si="3"/>
        <v>-1.0168116392662512</v>
      </c>
      <c r="J93">
        <f t="shared" si="1"/>
        <v>0.38519074984356749</v>
      </c>
      <c r="K93">
        <f t="shared" si="2"/>
        <v>0.31469473488338051</v>
      </c>
    </row>
    <row r="94" spans="1:11" x14ac:dyDescent="0.25">
      <c r="A94">
        <f>regression!A94</f>
        <v>2008</v>
      </c>
      <c r="B94">
        <f>regression!B94</f>
        <v>112</v>
      </c>
      <c r="C94" t="str">
        <f>regression!C94</f>
        <v>Transp</v>
      </c>
      <c r="D94" t="str">
        <f>regression!D94</f>
        <v>Sr. Unsec.</v>
      </c>
      <c r="E94">
        <f>regression!E94</f>
        <v>0.33584004114037758</v>
      </c>
      <c r="F94">
        <f>regression!F94</f>
        <v>0.51</v>
      </c>
      <c r="G94">
        <f>regression!G94</f>
        <v>0.63600000000000001</v>
      </c>
      <c r="H94">
        <f>regression!H94</f>
        <v>0</v>
      </c>
      <c r="I94">
        <f t="shared" si="3"/>
        <v>-0.89947188499553199</v>
      </c>
      <c r="J94">
        <f t="shared" si="1"/>
        <v>0.44035311349438505</v>
      </c>
      <c r="K94">
        <f t="shared" si="2"/>
        <v>0.17834089045590784</v>
      </c>
    </row>
    <row r="95" spans="1:11" x14ac:dyDescent="0.25">
      <c r="A95">
        <f>regression!A95</f>
        <v>2008</v>
      </c>
      <c r="B95">
        <f>regression!B95</f>
        <v>113</v>
      </c>
      <c r="C95" t="str">
        <f>regression!C95</f>
        <v>Media</v>
      </c>
      <c r="D95" t="str">
        <f>regression!D95</f>
        <v>Sr. Unsec.</v>
      </c>
      <c r="E95">
        <f>regression!E95</f>
        <v>0.18713916675448417</v>
      </c>
      <c r="F95">
        <f>regression!F95</f>
        <v>0.30464169858182077</v>
      </c>
      <c r="G95">
        <f>regression!G95</f>
        <v>0.63600000000000001</v>
      </c>
      <c r="H95">
        <f>regression!H95</f>
        <v>0.92</v>
      </c>
      <c r="I95">
        <f t="shared" si="3"/>
        <v>-1.3315941453339797</v>
      </c>
      <c r="J95">
        <f t="shared" si="1"/>
        <v>0.38982024448617175</v>
      </c>
      <c r="K95">
        <f t="shared" si="2"/>
        <v>0.35413182782726632</v>
      </c>
    </row>
    <row r="96" spans="1:11" x14ac:dyDescent="0.25">
      <c r="A96">
        <f>regression!A96</f>
        <v>2008</v>
      </c>
      <c r="B96">
        <f>regression!B96</f>
        <v>114</v>
      </c>
      <c r="C96" t="str">
        <f>regression!C96</f>
        <v>Media</v>
      </c>
      <c r="D96" t="str">
        <f>regression!D96</f>
        <v>Sr. Unsec.</v>
      </c>
      <c r="E96">
        <f>regression!E96</f>
        <v>0.97137140524387355</v>
      </c>
      <c r="F96">
        <f>regression!F96</f>
        <v>0.67261373475313246</v>
      </c>
      <c r="G96">
        <f>regression!G96</f>
        <v>0.63600000000000001</v>
      </c>
      <c r="H96">
        <f>regression!H96</f>
        <v>0.92</v>
      </c>
      <c r="I96">
        <f t="shared" si="3"/>
        <v>1.140039944713382</v>
      </c>
      <c r="J96">
        <f t="shared" ref="J96:J159" si="4">oostrend(E$2:E$318,F$2:F$318,F96:H96,A$2:A$318,A96)</f>
        <v>0.48036775376199758</v>
      </c>
      <c r="K96">
        <f t="shared" ref="K96:K159" si="5">BETAINV(NORMSDIST(oostrend(I$2:I$318,F$2:H$318,F96:H96,A$2:A$318,A96)),N$14,N$15)</f>
        <v>0.32319149033148831</v>
      </c>
    </row>
    <row r="97" spans="1:11" x14ac:dyDescent="0.25">
      <c r="A97">
        <f>regression!A97</f>
        <v>2008</v>
      </c>
      <c r="B97">
        <f>regression!B97</f>
        <v>114</v>
      </c>
      <c r="C97" t="str">
        <f>regression!C97</f>
        <v>Media</v>
      </c>
      <c r="D97" t="str">
        <f>regression!D97</f>
        <v>Sub.</v>
      </c>
      <c r="E97">
        <f>regression!E97</f>
        <v>0.99</v>
      </c>
      <c r="F97">
        <f>regression!F97</f>
        <v>0.67261373475313246</v>
      </c>
      <c r="G97">
        <f>regression!G97</f>
        <v>0.71120000000000005</v>
      </c>
      <c r="H97">
        <f>regression!H97</f>
        <v>0.92</v>
      </c>
      <c r="I97">
        <f t="shared" si="3"/>
        <v>1.4954060676963419</v>
      </c>
      <c r="J97">
        <f t="shared" si="4"/>
        <v>0.48036775376199758</v>
      </c>
      <c r="K97">
        <f t="shared" si="5"/>
        <v>0.4527669020034486</v>
      </c>
    </row>
    <row r="98" spans="1:11" x14ac:dyDescent="0.25">
      <c r="A98">
        <f>regression!A98</f>
        <v>2008</v>
      </c>
      <c r="B98">
        <f>regression!B98</f>
        <v>115</v>
      </c>
      <c r="C98" t="str">
        <f>regression!C98</f>
        <v>Transp</v>
      </c>
      <c r="D98" t="str">
        <f>regression!D98</f>
        <v>Sr. Unsec.</v>
      </c>
      <c r="E98">
        <f>regression!E98</f>
        <v>0.32264594677954916</v>
      </c>
      <c r="F98">
        <f>regression!F98</f>
        <v>7.258593982974812E-2</v>
      </c>
      <c r="G98">
        <f>regression!G98</f>
        <v>0.63600000000000001</v>
      </c>
      <c r="H98">
        <f>regression!H98</f>
        <v>0</v>
      </c>
      <c r="I98">
        <f t="shared" si="3"/>
        <v>-0.93305724155107239</v>
      </c>
      <c r="J98">
        <f t="shared" si="4"/>
        <v>0.33271788641913158</v>
      </c>
      <c r="K98">
        <f t="shared" si="5"/>
        <v>0.20519323975116804</v>
      </c>
    </row>
    <row r="99" spans="1:11" x14ac:dyDescent="0.25">
      <c r="A99">
        <f>regression!A99</f>
        <v>2008</v>
      </c>
      <c r="B99">
        <f>regression!B99</f>
        <v>117</v>
      </c>
      <c r="C99" t="str">
        <f>regression!C99</f>
        <v>Transp</v>
      </c>
      <c r="D99" t="str">
        <f>regression!D99</f>
        <v>Sr. Sec.</v>
      </c>
      <c r="E99">
        <f>regression!E99</f>
        <v>0.28635053664445875</v>
      </c>
      <c r="F99">
        <f>regression!F99</f>
        <v>0.1516781108947598</v>
      </c>
      <c r="G99">
        <f>regression!G99</f>
        <v>0.48199999999999998</v>
      </c>
      <c r="H99">
        <f>regression!H99</f>
        <v>0</v>
      </c>
      <c r="I99">
        <f t="shared" si="3"/>
        <v>-1.0289235091740057</v>
      </c>
      <c r="J99">
        <f t="shared" si="4"/>
        <v>0.35218023243778451</v>
      </c>
      <c r="K99">
        <f t="shared" si="5"/>
        <v>6.5513369976243824E-2</v>
      </c>
    </row>
    <row r="100" spans="1:11" x14ac:dyDescent="0.25">
      <c r="A100">
        <f>regression!A100</f>
        <v>2008</v>
      </c>
      <c r="B100">
        <f>regression!B100</f>
        <v>118</v>
      </c>
      <c r="C100" t="str">
        <f>regression!C100</f>
        <v>Retail</v>
      </c>
      <c r="D100" t="str">
        <f>regression!D100</f>
        <v>Sr. Unsec.</v>
      </c>
      <c r="E100">
        <f>regression!E100</f>
        <v>0.55920900090932846</v>
      </c>
      <c r="F100">
        <f>regression!F100</f>
        <v>0.26190642057196828</v>
      </c>
      <c r="G100">
        <f>regression!G100</f>
        <v>0.63600000000000001</v>
      </c>
      <c r="H100">
        <f>regression!H100</f>
        <v>1.802</v>
      </c>
      <c r="I100">
        <f t="shared" si="3"/>
        <v>-0.37911127286273505</v>
      </c>
      <c r="J100">
        <f t="shared" si="4"/>
        <v>0.37930430142086607</v>
      </c>
      <c r="K100">
        <f t="shared" si="5"/>
        <v>0.55069425032297259</v>
      </c>
    </row>
    <row r="101" spans="1:11" x14ac:dyDescent="0.25">
      <c r="A101">
        <f>regression!A101</f>
        <v>2008</v>
      </c>
      <c r="B101">
        <f>regression!B101</f>
        <v>119</v>
      </c>
      <c r="C101" t="str">
        <f>regression!C101</f>
        <v>Media</v>
      </c>
      <c r="D101" t="str">
        <f>regression!D101</f>
        <v>Sr. Unsec.</v>
      </c>
      <c r="E101">
        <f>regression!E101</f>
        <v>0.99</v>
      </c>
      <c r="F101">
        <f>regression!F101</f>
        <v>0.55367934354280579</v>
      </c>
      <c r="G101">
        <f>regression!G101</f>
        <v>0.63600000000000001</v>
      </c>
      <c r="H101">
        <f>regression!H101</f>
        <v>0.92</v>
      </c>
      <c r="I101">
        <f t="shared" si="3"/>
        <v>1.4954060676963419</v>
      </c>
      <c r="J101">
        <f t="shared" si="4"/>
        <v>0.45110136438256637</v>
      </c>
      <c r="K101">
        <f t="shared" si="5"/>
        <v>0.33305856256269067</v>
      </c>
    </row>
    <row r="102" spans="1:11" x14ac:dyDescent="0.25">
      <c r="A102">
        <f>regression!A102</f>
        <v>2008</v>
      </c>
      <c r="B102">
        <f>regression!B102</f>
        <v>120</v>
      </c>
      <c r="C102" t="str">
        <f>regression!C102</f>
        <v>Retail</v>
      </c>
      <c r="D102" t="str">
        <f>regression!D102</f>
        <v>Sr. Sub.</v>
      </c>
      <c r="E102">
        <f>regression!E102</f>
        <v>0.31125581919997924</v>
      </c>
      <c r="F102">
        <f>regression!F102</f>
        <v>0.30380197140973264</v>
      </c>
      <c r="G102">
        <f>regression!G102</f>
        <v>0.68120000000000003</v>
      </c>
      <c r="H102">
        <f>regression!H102</f>
        <v>1.802</v>
      </c>
      <c r="I102">
        <f t="shared" si="3"/>
        <v>-0.96255552457145244</v>
      </c>
      <c r="J102">
        <f t="shared" si="4"/>
        <v>0.38961361138248551</v>
      </c>
      <c r="K102">
        <f t="shared" si="5"/>
        <v>0.62802716576068662</v>
      </c>
    </row>
    <row r="103" spans="1:11" x14ac:dyDescent="0.25">
      <c r="A103">
        <f>regression!A103</f>
        <v>2008</v>
      </c>
      <c r="B103">
        <f>regression!B103</f>
        <v>121</v>
      </c>
      <c r="C103" t="str">
        <f>regression!C103</f>
        <v>Tech</v>
      </c>
      <c r="D103" t="str">
        <f>regression!D103</f>
        <v>Sr. Unsec.</v>
      </c>
      <c r="E103">
        <f>regression!E103</f>
        <v>0.93297019857168195</v>
      </c>
      <c r="F103">
        <f>regression!F103</f>
        <v>0.62613678209893253</v>
      </c>
      <c r="G103">
        <f>regression!G103</f>
        <v>0.63600000000000001</v>
      </c>
      <c r="H103">
        <f>regression!H103</f>
        <v>0.48599999999999999</v>
      </c>
      <c r="I103">
        <f t="shared" si="3"/>
        <v>0.79898716217777743</v>
      </c>
      <c r="J103">
        <f t="shared" si="4"/>
        <v>0.46893109040747827</v>
      </c>
      <c r="K103">
        <f t="shared" si="5"/>
        <v>0.24659026105838294</v>
      </c>
    </row>
    <row r="104" spans="1:11" x14ac:dyDescent="0.25">
      <c r="A104">
        <f>regression!A104</f>
        <v>2008</v>
      </c>
      <c r="B104">
        <f>regression!B104</f>
        <v>122</v>
      </c>
      <c r="C104" t="str">
        <f>regression!C104</f>
        <v>Transp</v>
      </c>
      <c r="D104" t="str">
        <f>regression!D104</f>
        <v>Sr. Unsec.</v>
      </c>
      <c r="E104">
        <f>regression!E104</f>
        <v>0.99</v>
      </c>
      <c r="F104">
        <f>regression!F104</f>
        <v>0.31731812403338355</v>
      </c>
      <c r="G104">
        <f>regression!G104</f>
        <v>0.63600000000000001</v>
      </c>
      <c r="H104">
        <f>regression!H104</f>
        <v>0</v>
      </c>
      <c r="I104">
        <f t="shared" si="3"/>
        <v>1.4954060676963419</v>
      </c>
      <c r="J104">
        <f t="shared" si="4"/>
        <v>0.392939554211722</v>
      </c>
      <c r="K104">
        <f t="shared" si="5"/>
        <v>0.18987018690161234</v>
      </c>
    </row>
    <row r="105" spans="1:11" x14ac:dyDescent="0.25">
      <c r="A105">
        <f>regression!A105</f>
        <v>2008</v>
      </c>
      <c r="B105">
        <f>regression!B105</f>
        <v>123</v>
      </c>
      <c r="C105" t="str">
        <f>regression!C105</f>
        <v>Retail</v>
      </c>
      <c r="D105" t="str">
        <f>regression!D105</f>
        <v>Sr. Unsec.</v>
      </c>
      <c r="E105">
        <f>regression!E105</f>
        <v>0.75138366169929505</v>
      </c>
      <c r="F105">
        <f>regression!F105</f>
        <v>0.88304343069253255</v>
      </c>
      <c r="G105">
        <f>regression!G105</f>
        <v>0.63600000000000001</v>
      </c>
      <c r="H105">
        <f>regression!H105</f>
        <v>1.802</v>
      </c>
      <c r="I105">
        <f t="shared" si="3"/>
        <v>9.0947000990830154E-2</v>
      </c>
      <c r="J105">
        <f t="shared" si="4"/>
        <v>0.53214854950733348</v>
      </c>
      <c r="K105">
        <f t="shared" si="5"/>
        <v>0.4926479199604189</v>
      </c>
    </row>
    <row r="106" spans="1:11" x14ac:dyDescent="0.25">
      <c r="A106">
        <f>regression!A106</f>
        <v>2008</v>
      </c>
      <c r="B106">
        <f>regression!B106</f>
        <v>124</v>
      </c>
      <c r="C106" t="str">
        <f>regression!C106</f>
        <v>Cons G</v>
      </c>
      <c r="D106" t="str">
        <f>regression!D106</f>
        <v>Sr. Unsec.</v>
      </c>
      <c r="E106">
        <f>regression!E106</f>
        <v>0.69090181032019859</v>
      </c>
      <c r="F106">
        <f>regression!F106</f>
        <v>0.80898648367000381</v>
      </c>
      <c r="G106">
        <f>regression!G106</f>
        <v>0.63600000000000001</v>
      </c>
      <c r="H106">
        <f>regression!H106</f>
        <v>0.65100000000000002</v>
      </c>
      <c r="I106">
        <f t="shared" si="3"/>
        <v>-6.7965692347327397E-2</v>
      </c>
      <c r="J106">
        <f t="shared" si="4"/>
        <v>0.51392522969414012</v>
      </c>
      <c r="K106">
        <f t="shared" si="5"/>
        <v>0.26204090342683967</v>
      </c>
    </row>
    <row r="107" spans="1:11" x14ac:dyDescent="0.25">
      <c r="A107">
        <f>regression!A107</f>
        <v>2008</v>
      </c>
      <c r="B107">
        <f>regression!B107</f>
        <v>125</v>
      </c>
      <c r="C107" t="str">
        <f>regression!C107</f>
        <v>Cons G</v>
      </c>
      <c r="D107" t="str">
        <f>regression!D107</f>
        <v>Sr. Sec.</v>
      </c>
      <c r="E107">
        <f>regression!E107</f>
        <v>0.40545830129384997</v>
      </c>
      <c r="F107">
        <f>regression!F107</f>
        <v>0.29367431373295771</v>
      </c>
      <c r="G107">
        <f>regression!G107</f>
        <v>0.48199999999999998</v>
      </c>
      <c r="H107">
        <f>regression!H107</f>
        <v>0.65100000000000002</v>
      </c>
      <c r="I107">
        <f t="shared" si="3"/>
        <v>-0.73031959339531505</v>
      </c>
      <c r="J107">
        <f t="shared" si="4"/>
        <v>0.38712148130931001</v>
      </c>
      <c r="K107">
        <f t="shared" si="5"/>
        <v>0.11544065042770811</v>
      </c>
    </row>
    <row r="108" spans="1:11" x14ac:dyDescent="0.25">
      <c r="A108">
        <f>regression!A108</f>
        <v>2008</v>
      </c>
      <c r="B108">
        <f>regression!B108</f>
        <v>125</v>
      </c>
      <c r="C108" t="str">
        <f>regression!C108</f>
        <v>Cons G</v>
      </c>
      <c r="D108" t="str">
        <f>regression!D108</f>
        <v>Sr. Sub.</v>
      </c>
      <c r="E108">
        <f>regression!E108</f>
        <v>0.97146591430902485</v>
      </c>
      <c r="F108">
        <f>regression!F108</f>
        <v>0.29367431373295771</v>
      </c>
      <c r="G108">
        <f>regression!G108</f>
        <v>0.68120000000000003</v>
      </c>
      <c r="H108">
        <f>regression!H108</f>
        <v>0.65100000000000002</v>
      </c>
      <c r="I108">
        <f t="shared" si="3"/>
        <v>1.1412560269887715</v>
      </c>
      <c r="J108">
        <f t="shared" si="4"/>
        <v>0.38712148130931001</v>
      </c>
      <c r="K108">
        <f t="shared" si="5"/>
        <v>0.37592036404347495</v>
      </c>
    </row>
    <row r="109" spans="1:11" x14ac:dyDescent="0.25">
      <c r="A109">
        <f>regression!A109</f>
        <v>2008</v>
      </c>
      <c r="B109">
        <f>regression!B109</f>
        <v>126</v>
      </c>
      <c r="C109" t="str">
        <f>regression!C109</f>
        <v>Energy</v>
      </c>
      <c r="D109" t="str">
        <f>regression!D109</f>
        <v>Sr. Unsec.</v>
      </c>
      <c r="E109">
        <f>regression!E109</f>
        <v>0.96647910244464874</v>
      </c>
      <c r="F109">
        <f>regression!F109</f>
        <v>0.26052044828296522</v>
      </c>
      <c r="G109">
        <f>regression!G109</f>
        <v>0.63600000000000001</v>
      </c>
      <c r="H109">
        <f>regression!H109</f>
        <v>0</v>
      </c>
      <c r="I109">
        <f t="shared" si="3"/>
        <v>1.0811524596265092</v>
      </c>
      <c r="J109">
        <f t="shared" si="4"/>
        <v>0.37896325284554411</v>
      </c>
      <c r="K109">
        <f t="shared" si="5"/>
        <v>0.19335879960006316</v>
      </c>
    </row>
    <row r="110" spans="1:11" x14ac:dyDescent="0.25">
      <c r="A110">
        <f>regression!A110</f>
        <v>2008</v>
      </c>
      <c r="B110">
        <f>regression!B110</f>
        <v>127</v>
      </c>
      <c r="C110" t="str">
        <f>regression!C110</f>
        <v>Media</v>
      </c>
      <c r="D110" t="str">
        <f>regression!D110</f>
        <v>Sub.</v>
      </c>
      <c r="E110">
        <f>regression!E110</f>
        <v>0.9047814211249352</v>
      </c>
      <c r="F110">
        <f>regression!F110</f>
        <v>0.56308744944726985</v>
      </c>
      <c r="G110">
        <f>regression!G110</f>
        <v>0.71120000000000005</v>
      </c>
      <c r="H110">
        <f>regression!H110</f>
        <v>0.92</v>
      </c>
      <c r="I110">
        <f t="shared" si="3"/>
        <v>0.63753185569862625</v>
      </c>
      <c r="J110">
        <f t="shared" si="4"/>
        <v>0.45341643311853908</v>
      </c>
      <c r="K110">
        <f t="shared" si="5"/>
        <v>0.46289723031797914</v>
      </c>
    </row>
    <row r="111" spans="1:11" x14ac:dyDescent="0.25">
      <c r="A111">
        <f>regression!A111</f>
        <v>2008</v>
      </c>
      <c r="B111">
        <f>regression!B111</f>
        <v>129</v>
      </c>
      <c r="C111" t="str">
        <f>regression!C111</f>
        <v>Energy</v>
      </c>
      <c r="D111" t="str">
        <f>regression!D111</f>
        <v>Sr. Sec.</v>
      </c>
      <c r="E111">
        <f>regression!E111</f>
        <v>3.7434061872959168E-2</v>
      </c>
      <c r="F111">
        <f>regression!F111</f>
        <v>0.28672206041384307</v>
      </c>
      <c r="G111">
        <f>regression!G111</f>
        <v>0.48199999999999998</v>
      </c>
      <c r="H111">
        <f>regression!H111</f>
        <v>0</v>
      </c>
      <c r="I111">
        <f t="shared" si="3"/>
        <v>-2.1875828609888242</v>
      </c>
      <c r="J111">
        <f t="shared" si="4"/>
        <v>0.38541072842588342</v>
      </c>
      <c r="K111">
        <f t="shared" si="5"/>
        <v>6.1828123547937749E-2</v>
      </c>
    </row>
    <row r="112" spans="1:11" x14ac:dyDescent="0.25">
      <c r="A112">
        <f>regression!A112</f>
        <v>2008</v>
      </c>
      <c r="B112">
        <f>regression!B112</f>
        <v>131</v>
      </c>
      <c r="C112" t="str">
        <f>regression!C112</f>
        <v>Retail</v>
      </c>
      <c r="D112" t="str">
        <f>regression!D112</f>
        <v>Sr. Unsec.</v>
      </c>
      <c r="E112">
        <f>regression!E112</f>
        <v>0.89032321428954597</v>
      </c>
      <c r="F112">
        <f>regression!F112</f>
        <v>0.3164972363445373</v>
      </c>
      <c r="G112">
        <f>regression!G112</f>
        <v>0.63600000000000001</v>
      </c>
      <c r="H112">
        <f>regression!H112</f>
        <v>1.802</v>
      </c>
      <c r="I112">
        <f t="shared" si="3"/>
        <v>0.56798040803116379</v>
      </c>
      <c r="J112">
        <f t="shared" si="4"/>
        <v>0.39273755697194906</v>
      </c>
      <c r="K112">
        <f t="shared" si="5"/>
        <v>0.54560315317130081</v>
      </c>
    </row>
    <row r="113" spans="1:11" x14ac:dyDescent="0.25">
      <c r="A113">
        <f>regression!A113</f>
        <v>2008</v>
      </c>
      <c r="B113">
        <f>regression!B113</f>
        <v>132</v>
      </c>
      <c r="C113" t="str">
        <f>regression!C113</f>
        <v>Media</v>
      </c>
      <c r="D113" t="str">
        <f>regression!D113</f>
        <v>Sr. Sub.</v>
      </c>
      <c r="E113">
        <f>regression!E113</f>
        <v>0.8080750613212585</v>
      </c>
      <c r="F113">
        <f>regression!F113</f>
        <v>0.67717724443868488</v>
      </c>
      <c r="G113">
        <f>regression!G113</f>
        <v>0.68120000000000003</v>
      </c>
      <c r="H113">
        <f>regression!H113</f>
        <v>0.92</v>
      </c>
      <c r="I113">
        <f t="shared" si="3"/>
        <v>0.25876772202782805</v>
      </c>
      <c r="J113">
        <f t="shared" si="4"/>
        <v>0.48149070440760178</v>
      </c>
      <c r="K113">
        <f t="shared" si="5"/>
        <v>0.39895925344281263</v>
      </c>
    </row>
    <row r="114" spans="1:11" x14ac:dyDescent="0.25">
      <c r="A114">
        <f>regression!A114</f>
        <v>2008</v>
      </c>
      <c r="B114">
        <f>regression!B114</f>
        <v>133</v>
      </c>
      <c r="C114" t="str">
        <f>regression!C114</f>
        <v>Retail</v>
      </c>
      <c r="D114" t="str">
        <f>regression!D114</f>
        <v>Sr. Sub.</v>
      </c>
      <c r="E114">
        <f>regression!E114</f>
        <v>0.80930909860134126</v>
      </c>
      <c r="F114">
        <f>regression!F114</f>
        <v>0.46760560482850022</v>
      </c>
      <c r="G114">
        <f>regression!G114</f>
        <v>0.68120000000000003</v>
      </c>
      <c r="H114">
        <f>regression!H114</f>
        <v>1.802</v>
      </c>
      <c r="I114">
        <f t="shared" si="3"/>
        <v>0.26271127840524272</v>
      </c>
      <c r="J114">
        <f t="shared" si="4"/>
        <v>0.42992105205304426</v>
      </c>
      <c r="K114">
        <f t="shared" si="5"/>
        <v>0.61323135275478502</v>
      </c>
    </row>
    <row r="115" spans="1:11" x14ac:dyDescent="0.25">
      <c r="A115">
        <f>regression!A115</f>
        <v>2008</v>
      </c>
      <c r="B115">
        <f>regression!B115</f>
        <v>134</v>
      </c>
      <c r="C115" t="str">
        <f>regression!C115</f>
        <v>Tech</v>
      </c>
      <c r="D115" t="str">
        <f>regression!D115</f>
        <v>Sr. Unsec.</v>
      </c>
      <c r="E115">
        <f>regression!E115</f>
        <v>0.60797972234487541</v>
      </c>
      <c r="F115">
        <f>regression!F115</f>
        <v>0.60037109241492548</v>
      </c>
      <c r="G115">
        <f>regression!G115</f>
        <v>0.63600000000000001</v>
      </c>
      <c r="H115">
        <f>regression!H115</f>
        <v>0.48599999999999999</v>
      </c>
      <c r="I115">
        <f t="shared" si="3"/>
        <v>-0.2672000533287589</v>
      </c>
      <c r="J115">
        <f t="shared" si="4"/>
        <v>0.46259088301037454</v>
      </c>
      <c r="K115">
        <f t="shared" si="5"/>
        <v>0.2484401621168344</v>
      </c>
    </row>
    <row r="116" spans="1:11" x14ac:dyDescent="0.25">
      <c r="A116">
        <f>regression!A116</f>
        <v>2008</v>
      </c>
      <c r="B116">
        <f>regression!B116</f>
        <v>135</v>
      </c>
      <c r="C116" t="str">
        <f>regression!C116</f>
        <v>Transp</v>
      </c>
      <c r="D116" t="str">
        <f>regression!D116</f>
        <v>Sr. Unsec.</v>
      </c>
      <c r="E116">
        <f>regression!E116</f>
        <v>0.80842303812503813</v>
      </c>
      <c r="F116">
        <f>regression!F116</f>
        <v>0.78147418480319919</v>
      </c>
      <c r="G116">
        <f>regression!G116</f>
        <v>0.63600000000000001</v>
      </c>
      <c r="H116">
        <f>regression!H116</f>
        <v>0</v>
      </c>
      <c r="I116">
        <f t="shared" si="3"/>
        <v>0.25987822802924981</v>
      </c>
      <c r="J116">
        <f t="shared" si="4"/>
        <v>0.50715523118348838</v>
      </c>
      <c r="K116">
        <f t="shared" si="5"/>
        <v>0.16289917016777622</v>
      </c>
    </row>
    <row r="117" spans="1:11" x14ac:dyDescent="0.25">
      <c r="A117">
        <f>regression!A117</f>
        <v>2008</v>
      </c>
      <c r="B117">
        <f>regression!B117</f>
        <v>136</v>
      </c>
      <c r="C117" t="str">
        <f>regression!C117</f>
        <v>Cons G</v>
      </c>
      <c r="D117" t="str">
        <f>regression!D117</f>
        <v>Sr. Unsec.</v>
      </c>
      <c r="E117">
        <f>regression!E117</f>
        <v>0.41977209057807918</v>
      </c>
      <c r="F117">
        <f>regression!F117</f>
        <v>0.80645348513496729</v>
      </c>
      <c r="G117">
        <f>regression!G117</f>
        <v>0.63600000000000001</v>
      </c>
      <c r="H117">
        <f>regression!H117</f>
        <v>0.65100000000000002</v>
      </c>
      <c r="I117">
        <f t="shared" si="3"/>
        <v>-0.69679693183449354</v>
      </c>
      <c r="J117">
        <f t="shared" si="4"/>
        <v>0.51330193040560368</v>
      </c>
      <c r="K117">
        <f t="shared" si="5"/>
        <v>0.26222870453529951</v>
      </c>
    </row>
    <row r="118" spans="1:11" x14ac:dyDescent="0.25">
      <c r="A118">
        <f>regression!A118</f>
        <v>2008</v>
      </c>
      <c r="B118">
        <f>regression!B118</f>
        <v>137</v>
      </c>
      <c r="C118" t="str">
        <f>regression!C118</f>
        <v>Cap Ind</v>
      </c>
      <c r="D118" t="str">
        <f>regression!D118</f>
        <v>Sr. Unsec.</v>
      </c>
      <c r="E118">
        <f>regression!E118</f>
        <v>0.32865962749719624</v>
      </c>
      <c r="F118">
        <f>regression!F118</f>
        <v>0.69813072254870745</v>
      </c>
      <c r="G118">
        <f>regression!G118</f>
        <v>0.63600000000000001</v>
      </c>
      <c r="H118">
        <f>regression!H118</f>
        <v>0.71499999999999997</v>
      </c>
      <c r="I118">
        <f t="shared" si="3"/>
        <v>-0.91767532786154393</v>
      </c>
      <c r="J118">
        <f t="shared" si="4"/>
        <v>0.48664676265938911</v>
      </c>
      <c r="K118">
        <f t="shared" si="5"/>
        <v>0.28200548778171053</v>
      </c>
    </row>
    <row r="119" spans="1:11" x14ac:dyDescent="0.25">
      <c r="A119">
        <f>regression!A119</f>
        <v>2008</v>
      </c>
      <c r="B119">
        <f>regression!B119</f>
        <v>138</v>
      </c>
      <c r="C119" t="str">
        <f>regression!C119</f>
        <v>Cons G</v>
      </c>
      <c r="D119" t="str">
        <f>regression!D119</f>
        <v>Sr. Unsec.</v>
      </c>
      <c r="E119">
        <f>regression!E119</f>
        <v>0.93339327968358998</v>
      </c>
      <c r="F119">
        <f>regression!F119</f>
        <v>0.74432607679842167</v>
      </c>
      <c r="G119">
        <f>regression!G119</f>
        <v>0.63600000000000001</v>
      </c>
      <c r="H119">
        <f>regression!H119</f>
        <v>0.65100000000000002</v>
      </c>
      <c r="I119">
        <f t="shared" si="3"/>
        <v>0.8017683881037817</v>
      </c>
      <c r="J119">
        <f t="shared" si="4"/>
        <v>0.49801413261213928</v>
      </c>
      <c r="K119">
        <f t="shared" si="5"/>
        <v>0.26685799901780105</v>
      </c>
    </row>
    <row r="120" spans="1:11" x14ac:dyDescent="0.25">
      <c r="A120">
        <f>regression!A120</f>
        <v>2009</v>
      </c>
      <c r="B120">
        <f>regression!B120</f>
        <v>201</v>
      </c>
      <c r="C120" t="str">
        <f>regression!C120</f>
        <v>Retail</v>
      </c>
      <c r="D120" t="str">
        <f>regression!D120</f>
        <v>Sr. Sub.</v>
      </c>
      <c r="E120">
        <f>regression!E120</f>
        <v>0.99</v>
      </c>
      <c r="F120">
        <f>regression!F120</f>
        <v>0.22438188279085836</v>
      </c>
      <c r="G120">
        <f>regression!G120</f>
        <v>0.70330000000000004</v>
      </c>
      <c r="H120">
        <f>regression!H120</f>
        <v>2.2469999999999999</v>
      </c>
      <c r="I120">
        <f t="shared" si="3"/>
        <v>1.4954060676963419</v>
      </c>
      <c r="J120">
        <f t="shared" si="4"/>
        <v>0.52867142499282738</v>
      </c>
      <c r="K120">
        <f t="shared" si="5"/>
        <v>0.81295305880241142</v>
      </c>
    </row>
    <row r="121" spans="1:11" x14ac:dyDescent="0.25">
      <c r="A121">
        <f>regression!A121</f>
        <v>2009</v>
      </c>
      <c r="B121">
        <f>regression!B121</f>
        <v>202</v>
      </c>
      <c r="C121" t="str">
        <f>regression!C121</f>
        <v>Tech</v>
      </c>
      <c r="D121" t="str">
        <f>regression!D121</f>
        <v>Sr. Unsec.</v>
      </c>
      <c r="E121">
        <f>regression!E121</f>
        <v>0.58567851135134696</v>
      </c>
      <c r="F121">
        <f>regression!F121</f>
        <v>0.54066819129018129</v>
      </c>
      <c r="G121">
        <f>regression!G121</f>
        <v>0.53820000000000001</v>
      </c>
      <c r="H121">
        <f>regression!H121</f>
        <v>1.1639999999999999</v>
      </c>
      <c r="I121">
        <f t="shared" si="3"/>
        <v>-0.31866933706162404</v>
      </c>
      <c r="J121">
        <f t="shared" si="4"/>
        <v>0.62978327193067141</v>
      </c>
      <c r="K121">
        <f t="shared" si="5"/>
        <v>0.4840993023168505</v>
      </c>
    </row>
    <row r="122" spans="1:11" x14ac:dyDescent="0.25">
      <c r="A122">
        <f>regression!A122</f>
        <v>2009</v>
      </c>
      <c r="B122">
        <f>regression!B122</f>
        <v>205</v>
      </c>
      <c r="C122" t="str">
        <f>regression!C122</f>
        <v>Media</v>
      </c>
      <c r="D122" t="str">
        <f>regression!D122</f>
        <v>Sr. Unsec.</v>
      </c>
      <c r="E122">
        <f>regression!E122</f>
        <v>0.23039194959998133</v>
      </c>
      <c r="F122">
        <f>regression!F122</f>
        <v>0.52771465447406485</v>
      </c>
      <c r="G122">
        <f>regression!G122</f>
        <v>0.53820000000000001</v>
      </c>
      <c r="H122">
        <f>regression!H122</f>
        <v>4.1470000000000002</v>
      </c>
      <c r="I122">
        <f t="shared" si="3"/>
        <v>-1.1902169071757989</v>
      </c>
      <c r="J122">
        <f t="shared" si="4"/>
        <v>0.62564222631263866</v>
      </c>
      <c r="K122">
        <f t="shared" si="5"/>
        <v>0.58816784588590021</v>
      </c>
    </row>
    <row r="123" spans="1:11" x14ac:dyDescent="0.25">
      <c r="A123">
        <f>regression!A123</f>
        <v>2009</v>
      </c>
      <c r="B123">
        <f>regression!B123</f>
        <v>206</v>
      </c>
      <c r="C123" t="str">
        <f>regression!C123</f>
        <v>Media</v>
      </c>
      <c r="D123" t="str">
        <f>regression!D123</f>
        <v>Sr. Unsec.</v>
      </c>
      <c r="E123">
        <f>regression!E123</f>
        <v>0.69939738728702072</v>
      </c>
      <c r="F123">
        <f>regression!F123</f>
        <v>0.85869526296473697</v>
      </c>
      <c r="G123">
        <f>regression!G123</f>
        <v>0.53820000000000001</v>
      </c>
      <c r="H123">
        <f>regression!H123</f>
        <v>4.1470000000000002</v>
      </c>
      <c r="I123">
        <f t="shared" si="3"/>
        <v>-4.6532529776859663E-2</v>
      </c>
      <c r="J123">
        <f t="shared" si="4"/>
        <v>0.73145161396488656</v>
      </c>
      <c r="K123">
        <f t="shared" si="5"/>
        <v>0.64967175559443657</v>
      </c>
    </row>
    <row r="124" spans="1:11" x14ac:dyDescent="0.25">
      <c r="A124">
        <f>regression!A124</f>
        <v>2009</v>
      </c>
      <c r="B124">
        <f>regression!B124</f>
        <v>209</v>
      </c>
      <c r="C124" t="str">
        <f>regression!C124</f>
        <v>Transp</v>
      </c>
      <c r="D124" t="str">
        <f>regression!D124</f>
        <v>Sr. Unsec.</v>
      </c>
      <c r="E124">
        <f>regression!E124</f>
        <v>0.78480637878179549</v>
      </c>
      <c r="F124">
        <f>regression!F124</f>
        <v>0.61585234327183769</v>
      </c>
      <c r="G124">
        <f>regression!G124</f>
        <v>0.53820000000000001</v>
      </c>
      <c r="H124">
        <f>regression!H124</f>
        <v>2.9630000000000001</v>
      </c>
      <c r="I124">
        <f t="shared" si="3"/>
        <v>0.18698061969766447</v>
      </c>
      <c r="J124">
        <f t="shared" si="4"/>
        <v>0.65381848389855568</v>
      </c>
      <c r="K124">
        <f t="shared" si="5"/>
        <v>0.56294608267516111</v>
      </c>
    </row>
    <row r="125" spans="1:11" x14ac:dyDescent="0.25">
      <c r="A125">
        <f>regression!A125</f>
        <v>2009</v>
      </c>
      <c r="B125">
        <f>regression!B125</f>
        <v>210</v>
      </c>
      <c r="C125" t="str">
        <f>regression!C125</f>
        <v>Retail</v>
      </c>
      <c r="D125" t="str">
        <f>regression!D125</f>
        <v>Sr. Unsec.</v>
      </c>
      <c r="E125">
        <f>regression!E125</f>
        <v>0.93517515173673627</v>
      </c>
      <c r="F125">
        <f>regression!F125</f>
        <v>0.72527069986236237</v>
      </c>
      <c r="G125">
        <f>regression!G125</f>
        <v>0.53820000000000001</v>
      </c>
      <c r="H125">
        <f>regression!H125</f>
        <v>2.2469999999999999</v>
      </c>
      <c r="I125">
        <f t="shared" si="3"/>
        <v>0.81363100498011121</v>
      </c>
      <c r="J125">
        <f t="shared" si="4"/>
        <v>0.68879784224088891</v>
      </c>
      <c r="K125">
        <f t="shared" si="5"/>
        <v>0.55835145451718571</v>
      </c>
    </row>
    <row r="126" spans="1:11" x14ac:dyDescent="0.25">
      <c r="A126">
        <f>regression!A126</f>
        <v>2009</v>
      </c>
      <c r="B126">
        <f>regression!B126</f>
        <v>211</v>
      </c>
      <c r="C126" t="str">
        <f>regression!C126</f>
        <v>Tech</v>
      </c>
      <c r="D126" t="str">
        <f>regression!D126</f>
        <v>Sr. Sec.</v>
      </c>
      <c r="E126">
        <f>regression!E126</f>
        <v>0.61824803304672238</v>
      </c>
      <c r="F126">
        <f>regression!F126</f>
        <v>0.7052215135721227</v>
      </c>
      <c r="G126">
        <f>regression!G126</f>
        <v>0.36450000000000005</v>
      </c>
      <c r="H126">
        <f>regression!H126</f>
        <v>1.1639999999999999</v>
      </c>
      <c r="I126">
        <f t="shared" si="3"/>
        <v>-0.24327907040672653</v>
      </c>
      <c r="J126">
        <f t="shared" si="4"/>
        <v>0.68238842709729475</v>
      </c>
      <c r="K126">
        <f t="shared" si="5"/>
        <v>0.16916561220005091</v>
      </c>
    </row>
    <row r="127" spans="1:11" x14ac:dyDescent="0.25">
      <c r="A127">
        <f>regression!A127</f>
        <v>2009</v>
      </c>
      <c r="B127">
        <f>regression!B127</f>
        <v>212</v>
      </c>
      <c r="C127" t="str">
        <f>regression!C127</f>
        <v>Transp</v>
      </c>
      <c r="D127" t="str">
        <f>regression!D127</f>
        <v>Sr. Unsec.</v>
      </c>
      <c r="E127">
        <f>regression!E127</f>
        <v>0.43045723815798764</v>
      </c>
      <c r="F127">
        <f>regression!F127</f>
        <v>0.67285132907658385</v>
      </c>
      <c r="G127">
        <f>regression!G127</f>
        <v>0.53820000000000001</v>
      </c>
      <c r="H127">
        <f>regression!H127</f>
        <v>2.9630000000000001</v>
      </c>
      <c r="I127">
        <f t="shared" si="3"/>
        <v>-0.67197230147580289</v>
      </c>
      <c r="J127">
        <f t="shared" si="4"/>
        <v>0.67204017915829262</v>
      </c>
      <c r="K127">
        <f t="shared" si="5"/>
        <v>0.57382357401356832</v>
      </c>
    </row>
    <row r="128" spans="1:11" x14ac:dyDescent="0.25">
      <c r="A128">
        <f>regression!A128</f>
        <v>2009</v>
      </c>
      <c r="B128">
        <f>regression!B128</f>
        <v>215</v>
      </c>
      <c r="C128" t="str">
        <f>regression!C128</f>
        <v>Retail</v>
      </c>
      <c r="D128" t="str">
        <f>regression!D128</f>
        <v>Sr. Unsec.</v>
      </c>
      <c r="E128">
        <f>regression!E128</f>
        <v>0.25063029731750486</v>
      </c>
      <c r="F128">
        <f>regression!F128</f>
        <v>0.38798333067414781</v>
      </c>
      <c r="G128">
        <f>regression!G128</f>
        <v>0.53820000000000001</v>
      </c>
      <c r="H128">
        <f>regression!H128</f>
        <v>2.2469999999999999</v>
      </c>
      <c r="I128">
        <f t="shared" si="3"/>
        <v>-1.129586555745878</v>
      </c>
      <c r="J128">
        <f t="shared" si="4"/>
        <v>0.58097228061845185</v>
      </c>
      <c r="K128">
        <f t="shared" si="5"/>
        <v>0.49353262159620664</v>
      </c>
    </row>
    <row r="129" spans="1:11" x14ac:dyDescent="0.25">
      <c r="A129">
        <f>regression!A129</f>
        <v>2009</v>
      </c>
      <c r="B129">
        <f>regression!B129</f>
        <v>217</v>
      </c>
      <c r="C129" t="str">
        <f>regression!C129</f>
        <v>Transp</v>
      </c>
      <c r="D129" t="str">
        <f>regression!D129</f>
        <v>Sr. Sub.</v>
      </c>
      <c r="E129">
        <f>regression!E129</f>
        <v>0.99</v>
      </c>
      <c r="F129">
        <f>regression!F129</f>
        <v>0.86532215976236571</v>
      </c>
      <c r="G129">
        <f>regression!G129</f>
        <v>0.70330000000000004</v>
      </c>
      <c r="H129">
        <f>regression!H129</f>
        <v>2.9630000000000001</v>
      </c>
      <c r="I129">
        <f t="shared" si="3"/>
        <v>1.4954060676963419</v>
      </c>
      <c r="J129">
        <f t="shared" si="4"/>
        <v>0.73357013050091346</v>
      </c>
      <c r="K129">
        <f t="shared" si="5"/>
        <v>0.89951184953228736</v>
      </c>
    </row>
    <row r="130" spans="1:11" x14ac:dyDescent="0.25">
      <c r="A130">
        <f>regression!A130</f>
        <v>2009</v>
      </c>
      <c r="B130">
        <f>regression!B130</f>
        <v>221</v>
      </c>
      <c r="C130" t="str">
        <f>regression!C130</f>
        <v>Cap Ind</v>
      </c>
      <c r="D130" t="str">
        <f>regression!D130</f>
        <v>Sr. Unsec.</v>
      </c>
      <c r="E130">
        <f>regression!E130</f>
        <v>0.98182044752299791</v>
      </c>
      <c r="F130">
        <f>regression!F130</f>
        <v>0.89541245407618697</v>
      </c>
      <c r="G130">
        <f>regression!G130</f>
        <v>0.53820000000000001</v>
      </c>
      <c r="H130">
        <f>regression!H130</f>
        <v>3.0710000000000002</v>
      </c>
      <c r="I130">
        <f t="shared" si="3"/>
        <v>1.300698700420627</v>
      </c>
      <c r="J130">
        <f t="shared" si="4"/>
        <v>0.74318953276783217</v>
      </c>
      <c r="K130">
        <f t="shared" si="5"/>
        <v>0.61955644547017441</v>
      </c>
    </row>
    <row r="131" spans="1:11" x14ac:dyDescent="0.25">
      <c r="A131">
        <f>regression!A131</f>
        <v>2009</v>
      </c>
      <c r="B131">
        <f>regression!B131</f>
        <v>221</v>
      </c>
      <c r="C131" t="str">
        <f>regression!C131</f>
        <v>Cap Ind</v>
      </c>
      <c r="D131" t="str">
        <f>regression!D131</f>
        <v>Sr. Sub.</v>
      </c>
      <c r="E131">
        <f>regression!E131</f>
        <v>0.99</v>
      </c>
      <c r="F131">
        <f>regression!F131</f>
        <v>0.89541245407618697</v>
      </c>
      <c r="G131">
        <f>regression!G131</f>
        <v>0.70330000000000004</v>
      </c>
      <c r="H131">
        <f>regression!H131</f>
        <v>3.0710000000000002</v>
      </c>
      <c r="I131">
        <f t="shared" ref="I131:I194" si="6">NORMSINV(BETADIST(E131,N$14,N$15))</f>
        <v>1.4954060676963419</v>
      </c>
      <c r="J131">
        <f t="shared" si="4"/>
        <v>0.74318953276783217</v>
      </c>
      <c r="K131">
        <f t="shared" si="5"/>
        <v>0.90392633986959425</v>
      </c>
    </row>
    <row r="132" spans="1:11" x14ac:dyDescent="0.25">
      <c r="A132">
        <f>regression!A132</f>
        <v>2009</v>
      </c>
      <c r="B132">
        <f>regression!B132</f>
        <v>222</v>
      </c>
      <c r="C132" t="str">
        <f>regression!C132</f>
        <v>Transp</v>
      </c>
      <c r="D132" t="str">
        <f>regression!D132</f>
        <v>Sr. Unsec.</v>
      </c>
      <c r="E132">
        <f>regression!E132</f>
        <v>0.7603440144610405</v>
      </c>
      <c r="F132">
        <f>regression!F132</f>
        <v>0.90671223734972717</v>
      </c>
      <c r="G132">
        <f>regression!G132</f>
        <v>0.53820000000000001</v>
      </c>
      <c r="H132">
        <f>regression!H132</f>
        <v>2.9630000000000001</v>
      </c>
      <c r="I132">
        <f t="shared" si="6"/>
        <v>0.11599324969929888</v>
      </c>
      <c r="J132">
        <f t="shared" si="4"/>
        <v>0.74680189892495741</v>
      </c>
      <c r="K132">
        <f t="shared" si="5"/>
        <v>0.61791379574650773</v>
      </c>
    </row>
    <row r="133" spans="1:11" x14ac:dyDescent="0.25">
      <c r="A133">
        <f>regression!A133</f>
        <v>2009</v>
      </c>
      <c r="B133">
        <f>regression!B133</f>
        <v>224</v>
      </c>
      <c r="C133" t="str">
        <f>regression!C133</f>
        <v>Cons G</v>
      </c>
      <c r="D133" t="str">
        <f>regression!D133</f>
        <v>Sr. Unsec.</v>
      </c>
      <c r="E133">
        <f>regression!E133</f>
        <v>0.67943664043664931</v>
      </c>
      <c r="F133">
        <f>regression!F133</f>
        <v>0.48749270151105384</v>
      </c>
      <c r="G133">
        <f>regression!G133</f>
        <v>0.53820000000000001</v>
      </c>
      <c r="H133">
        <f>regression!H133</f>
        <v>3.7829999999999999</v>
      </c>
      <c r="I133">
        <f t="shared" si="6"/>
        <v>-9.6521185765498049E-2</v>
      </c>
      <c r="J133">
        <f t="shared" si="4"/>
        <v>0.6127838892861851</v>
      </c>
      <c r="K133">
        <f t="shared" si="5"/>
        <v>0.56761866437785369</v>
      </c>
    </row>
    <row r="134" spans="1:11" x14ac:dyDescent="0.25">
      <c r="A134">
        <f>regression!A134</f>
        <v>2009</v>
      </c>
      <c r="B134">
        <f>regression!B134</f>
        <v>224</v>
      </c>
      <c r="C134" t="str">
        <f>regression!C134</f>
        <v>Cons G</v>
      </c>
      <c r="D134" t="str">
        <f>regression!D134</f>
        <v>Sr. Sub.</v>
      </c>
      <c r="E134">
        <f>regression!E134</f>
        <v>0.97317630173921588</v>
      </c>
      <c r="F134">
        <f>regression!F134</f>
        <v>0.48749270151105384</v>
      </c>
      <c r="G134">
        <f>regression!G134</f>
        <v>0.70330000000000004</v>
      </c>
      <c r="H134">
        <f>regression!H134</f>
        <v>3.7829999999999999</v>
      </c>
      <c r="I134">
        <f t="shared" si="6"/>
        <v>1.1638564802636722</v>
      </c>
      <c r="J134">
        <f t="shared" si="4"/>
        <v>0.6127838892861851</v>
      </c>
      <c r="K134">
        <f t="shared" si="5"/>
        <v>0.87796953915880516</v>
      </c>
    </row>
    <row r="135" spans="1:11" x14ac:dyDescent="0.25">
      <c r="A135">
        <f>regression!A135</f>
        <v>2009</v>
      </c>
      <c r="B135">
        <f>regression!B135</f>
        <v>225</v>
      </c>
      <c r="C135" t="str">
        <f>regression!C135</f>
        <v>Cons G</v>
      </c>
      <c r="D135" t="str">
        <f>regression!D135</f>
        <v>Sr. Sub.</v>
      </c>
      <c r="E135">
        <f>regression!E135</f>
        <v>0.71267708486318593</v>
      </c>
      <c r="F135">
        <f>regression!F135</f>
        <v>0.14624804611442507</v>
      </c>
      <c r="G135">
        <f>regression!G135</f>
        <v>0.70330000000000004</v>
      </c>
      <c r="H135">
        <f>regression!H135</f>
        <v>3.7829999999999999</v>
      </c>
      <c r="I135">
        <f t="shared" si="6"/>
        <v>-1.2514172136926079E-2</v>
      </c>
      <c r="J135">
        <f t="shared" si="4"/>
        <v>0.50369324439380547</v>
      </c>
      <c r="K135">
        <f t="shared" si="5"/>
        <v>0.83966498778251186</v>
      </c>
    </row>
    <row r="136" spans="1:11" x14ac:dyDescent="0.25">
      <c r="A136">
        <f>regression!A136</f>
        <v>2009</v>
      </c>
      <c r="B136">
        <f>regression!B136</f>
        <v>226</v>
      </c>
      <c r="C136" t="str">
        <f>regression!C136</f>
        <v>Media</v>
      </c>
      <c r="D136" t="str">
        <f>regression!D136</f>
        <v>Sub.</v>
      </c>
      <c r="E136">
        <f>regression!E136</f>
        <v>0.14318039369583135</v>
      </c>
      <c r="F136">
        <f>regression!F136</f>
        <v>0.65942848023806511</v>
      </c>
      <c r="G136">
        <f>regression!G136</f>
        <v>0.71150000000000002</v>
      </c>
      <c r="H136">
        <f>regression!H136</f>
        <v>4.1470000000000002</v>
      </c>
      <c r="I136">
        <f t="shared" si="6"/>
        <v>-1.4992531783411855</v>
      </c>
      <c r="J136">
        <f t="shared" si="4"/>
        <v>0.66774910173647939</v>
      </c>
      <c r="K136">
        <f t="shared" si="5"/>
        <v>0.90936969658417921</v>
      </c>
    </row>
    <row r="137" spans="1:11" x14ac:dyDescent="0.25">
      <c r="A137">
        <f>regression!A137</f>
        <v>2009</v>
      </c>
      <c r="B137">
        <f>regression!B137</f>
        <v>227</v>
      </c>
      <c r="C137" t="str">
        <f>regression!C137</f>
        <v>Media</v>
      </c>
      <c r="D137" t="str">
        <f>regression!D137</f>
        <v>Sr. Unsec.</v>
      </c>
      <c r="E137">
        <f>regression!E137</f>
        <v>0.63582589613199236</v>
      </c>
      <c r="F137">
        <f>regression!F137</f>
        <v>0.9084018999112119</v>
      </c>
      <c r="G137">
        <f>regression!G137</f>
        <v>0.53820000000000001</v>
      </c>
      <c r="H137">
        <f>regression!H137</f>
        <v>4.1470000000000002</v>
      </c>
      <c r="I137">
        <f t="shared" si="6"/>
        <v>-0.20193034083736805</v>
      </c>
      <c r="J137">
        <f t="shared" si="4"/>
        <v>0.74734205794449915</v>
      </c>
      <c r="K137">
        <f t="shared" si="5"/>
        <v>0.65865626329017291</v>
      </c>
    </row>
    <row r="138" spans="1:11" x14ac:dyDescent="0.25">
      <c r="A138">
        <f>regression!A138</f>
        <v>2009</v>
      </c>
      <c r="B138">
        <f>regression!B138</f>
        <v>228</v>
      </c>
      <c r="C138" t="str">
        <f>regression!C138</f>
        <v>Retail</v>
      </c>
      <c r="D138" t="str">
        <f>regression!D138</f>
        <v>Sr. Sub.</v>
      </c>
      <c r="E138">
        <f>regression!E138</f>
        <v>0.78704977840423584</v>
      </c>
      <c r="F138">
        <f>regression!F138</f>
        <v>0.85230540123261012</v>
      </c>
      <c r="G138">
        <f>regression!G138</f>
        <v>0.70330000000000004</v>
      </c>
      <c r="H138">
        <f>regression!H138</f>
        <v>2.2469999999999999</v>
      </c>
      <c r="I138">
        <f t="shared" si="6"/>
        <v>0.19370472411853043</v>
      </c>
      <c r="J138">
        <f t="shared" si="4"/>
        <v>0.72940887387765896</v>
      </c>
      <c r="K138">
        <f t="shared" si="5"/>
        <v>0.88582138673252431</v>
      </c>
    </row>
    <row r="139" spans="1:11" x14ac:dyDescent="0.25">
      <c r="A139">
        <f>regression!A139</f>
        <v>2009</v>
      </c>
      <c r="B139">
        <f>regression!B139</f>
        <v>229</v>
      </c>
      <c r="C139" t="str">
        <f>regression!C139</f>
        <v>Tech</v>
      </c>
      <c r="D139" t="str">
        <f>regression!D139</f>
        <v>Sr. Sec.</v>
      </c>
      <c r="E139">
        <f>regression!E139</f>
        <v>0.7765679498314858</v>
      </c>
      <c r="F139">
        <f>regression!F139</f>
        <v>0.91460344474019262</v>
      </c>
      <c r="G139">
        <f>regression!G139</f>
        <v>0.36450000000000005</v>
      </c>
      <c r="H139">
        <f>regression!H139</f>
        <v>1.1639999999999999</v>
      </c>
      <c r="I139">
        <f t="shared" si="6"/>
        <v>0.16261220185930839</v>
      </c>
      <c r="J139">
        <f t="shared" si="4"/>
        <v>0.74932459602684998</v>
      </c>
      <c r="K139">
        <f t="shared" si="5"/>
        <v>0.19471877880422403</v>
      </c>
    </row>
    <row r="140" spans="1:11" x14ac:dyDescent="0.25">
      <c r="A140">
        <f>regression!A140</f>
        <v>2009</v>
      </c>
      <c r="B140">
        <f>regression!B140</f>
        <v>229</v>
      </c>
      <c r="C140" t="str">
        <f>regression!C140</f>
        <v>Tech</v>
      </c>
      <c r="D140" t="str">
        <f>regression!D140</f>
        <v>Sr. Sub.</v>
      </c>
      <c r="E140">
        <f>regression!E140</f>
        <v>0.99</v>
      </c>
      <c r="F140">
        <f>regression!F140</f>
        <v>0.91460344474019262</v>
      </c>
      <c r="G140">
        <f>regression!G140</f>
        <v>0.70330000000000004</v>
      </c>
      <c r="H140">
        <f>regression!H140</f>
        <v>1.1639999999999999</v>
      </c>
      <c r="I140">
        <f t="shared" si="6"/>
        <v>1.4954060676963419</v>
      </c>
      <c r="J140">
        <f t="shared" si="4"/>
        <v>0.74932459602684998</v>
      </c>
      <c r="K140">
        <f t="shared" si="5"/>
        <v>0.87162663755226477</v>
      </c>
    </row>
    <row r="141" spans="1:11" x14ac:dyDescent="0.25">
      <c r="A141">
        <f>regression!A141</f>
        <v>2009</v>
      </c>
      <c r="B141">
        <f>regression!B141</f>
        <v>231</v>
      </c>
      <c r="C141" t="str">
        <f>regression!C141</f>
        <v>Retail</v>
      </c>
      <c r="D141" t="str">
        <f>regression!D141</f>
        <v>Sr. Unsec.</v>
      </c>
      <c r="E141">
        <f>regression!E141</f>
        <v>0.91575934574604034</v>
      </c>
      <c r="F141">
        <f>regression!F141</f>
        <v>0.71125897652776715</v>
      </c>
      <c r="G141">
        <f>regression!G141</f>
        <v>0.53820000000000001</v>
      </c>
      <c r="H141">
        <f>regression!H141</f>
        <v>2.2469999999999999</v>
      </c>
      <c r="I141">
        <f t="shared" si="6"/>
        <v>0.69558226473091134</v>
      </c>
      <c r="J141">
        <f t="shared" si="4"/>
        <v>0.68431851073942407</v>
      </c>
      <c r="K141">
        <f t="shared" si="5"/>
        <v>0.55566854814923683</v>
      </c>
    </row>
    <row r="142" spans="1:11" x14ac:dyDescent="0.25">
      <c r="A142">
        <f>regression!A142</f>
        <v>2009</v>
      </c>
      <c r="B142">
        <f>regression!B142</f>
        <v>233</v>
      </c>
      <c r="C142" t="str">
        <f>regression!C142</f>
        <v>Retail</v>
      </c>
      <c r="D142" t="str">
        <f>regression!D142</f>
        <v>Sr. Unsec.</v>
      </c>
      <c r="E142">
        <f>regression!E142</f>
        <v>0.86651436722278596</v>
      </c>
      <c r="F142">
        <f>regression!F142</f>
        <v>0.48226603827242837</v>
      </c>
      <c r="G142">
        <f>regression!G142</f>
        <v>0.53820000000000001</v>
      </c>
      <c r="H142">
        <f>regression!H142</f>
        <v>2.2469999999999999</v>
      </c>
      <c r="I142">
        <f t="shared" si="6"/>
        <v>0.46618761679898962</v>
      </c>
      <c r="J142">
        <f t="shared" si="4"/>
        <v>0.61111300578861294</v>
      </c>
      <c r="K142">
        <f t="shared" si="5"/>
        <v>0.51166179013136448</v>
      </c>
    </row>
    <row r="143" spans="1:11" x14ac:dyDescent="0.25">
      <c r="A143">
        <f>regression!A143</f>
        <v>2009</v>
      </c>
      <c r="B143">
        <f>regression!B143</f>
        <v>235</v>
      </c>
      <c r="C143" t="str">
        <f>regression!C143</f>
        <v>Transp</v>
      </c>
      <c r="D143" t="str">
        <f>regression!D143</f>
        <v>Sr. Unsec.</v>
      </c>
      <c r="E143">
        <f>regression!E143</f>
        <v>0.23971494150161743</v>
      </c>
      <c r="F143">
        <f>regression!F143</f>
        <v>0.75</v>
      </c>
      <c r="G143">
        <f>regression!G143</f>
        <v>0.53820000000000001</v>
      </c>
      <c r="H143">
        <f>regression!H143</f>
        <v>2.9630000000000001</v>
      </c>
      <c r="I143">
        <f t="shared" si="6"/>
        <v>-1.1619182934088899</v>
      </c>
      <c r="J143">
        <f t="shared" si="4"/>
        <v>0.69670341748459941</v>
      </c>
      <c r="K143">
        <f t="shared" si="5"/>
        <v>0.58847626002791387</v>
      </c>
    </row>
    <row r="144" spans="1:11" x14ac:dyDescent="0.25">
      <c r="A144">
        <f>regression!A144</f>
        <v>2009</v>
      </c>
      <c r="B144">
        <f>regression!B144</f>
        <v>237</v>
      </c>
      <c r="C144" t="str">
        <f>regression!C144</f>
        <v>Cons G</v>
      </c>
      <c r="D144" t="str">
        <f>regression!D144</f>
        <v>Sr. Unsec.</v>
      </c>
      <c r="E144">
        <f>regression!E144</f>
        <v>0.92369942393302917</v>
      </c>
      <c r="F144">
        <f>regression!F144</f>
        <v>0.54253303055644531</v>
      </c>
      <c r="G144">
        <f>regression!G144</f>
        <v>0.53820000000000001</v>
      </c>
      <c r="H144">
        <f>regression!H144</f>
        <v>3.7829999999999999</v>
      </c>
      <c r="I144">
        <f t="shared" si="6"/>
        <v>0.7411177916642272</v>
      </c>
      <c r="J144">
        <f t="shared" si="4"/>
        <v>0.63037943223665749</v>
      </c>
      <c r="K144">
        <f t="shared" si="5"/>
        <v>0.57810623748118928</v>
      </c>
    </row>
    <row r="145" spans="1:11" x14ac:dyDescent="0.25">
      <c r="A145">
        <f>regression!A145</f>
        <v>2009</v>
      </c>
      <c r="B145">
        <f>regression!B145</f>
        <v>237</v>
      </c>
      <c r="C145" t="str">
        <f>regression!C145</f>
        <v>Cons G</v>
      </c>
      <c r="D145" t="str">
        <f>regression!D145</f>
        <v>Sr. Sub.</v>
      </c>
      <c r="E145">
        <f>regression!E145</f>
        <v>0.85660303068161014</v>
      </c>
      <c r="F145">
        <f>regression!F145</f>
        <v>0.54253303055644531</v>
      </c>
      <c r="G145">
        <f>regression!G145</f>
        <v>0.70330000000000004</v>
      </c>
      <c r="H145">
        <f>regression!H145</f>
        <v>3.7829999999999999</v>
      </c>
      <c r="I145">
        <f t="shared" si="6"/>
        <v>0.42741491726980146</v>
      </c>
      <c r="J145">
        <f t="shared" si="4"/>
        <v>0.63037943223665749</v>
      </c>
      <c r="K145">
        <f t="shared" si="5"/>
        <v>0.88350850153765415</v>
      </c>
    </row>
    <row r="146" spans="1:11" x14ac:dyDescent="0.25">
      <c r="A146">
        <f>regression!A146</f>
        <v>2009</v>
      </c>
      <c r="B146">
        <f>regression!B146</f>
        <v>238</v>
      </c>
      <c r="C146" t="str">
        <f>regression!C146</f>
        <v>Cons G</v>
      </c>
      <c r="D146" t="str">
        <f>regression!D146</f>
        <v>Sr. Unsec.</v>
      </c>
      <c r="E146">
        <f>regression!E146</f>
        <v>0.64501694575607771</v>
      </c>
      <c r="F146">
        <f>regression!F146</f>
        <v>0.90061381188712963</v>
      </c>
      <c r="G146">
        <f>regression!G146</f>
        <v>0.53820000000000001</v>
      </c>
      <c r="H146">
        <f>regression!H146</f>
        <v>3.7829999999999999</v>
      </c>
      <c r="I146">
        <f t="shared" si="6"/>
        <v>-0.18007993790846569</v>
      </c>
      <c r="J146">
        <f t="shared" si="4"/>
        <v>0.74485232651108446</v>
      </c>
      <c r="K146">
        <f t="shared" si="5"/>
        <v>0.64495681790436588</v>
      </c>
    </row>
    <row r="147" spans="1:11" x14ac:dyDescent="0.25">
      <c r="A147">
        <f>regression!A147</f>
        <v>2009</v>
      </c>
      <c r="B147">
        <f>regression!B147</f>
        <v>238</v>
      </c>
      <c r="C147" t="str">
        <f>regression!C147</f>
        <v>Cons G</v>
      </c>
      <c r="D147" t="str">
        <f>regression!D147</f>
        <v>Sr. Sub.</v>
      </c>
      <c r="E147">
        <f>regression!E147</f>
        <v>0.85198099500536917</v>
      </c>
      <c r="F147">
        <f>regression!F147</f>
        <v>0.90061381188712963</v>
      </c>
      <c r="G147">
        <f>regression!G147</f>
        <v>0.70330000000000004</v>
      </c>
      <c r="H147">
        <f>regression!H147</f>
        <v>3.7829999999999999</v>
      </c>
      <c r="I147">
        <f t="shared" si="6"/>
        <v>0.4099321914764219</v>
      </c>
      <c r="J147">
        <f t="shared" si="4"/>
        <v>0.74485232651108446</v>
      </c>
      <c r="K147">
        <f t="shared" si="5"/>
        <v>0.91533028637953706</v>
      </c>
    </row>
    <row r="148" spans="1:11" x14ac:dyDescent="0.25">
      <c r="A148">
        <f>regression!A148</f>
        <v>2009</v>
      </c>
      <c r="B148">
        <f>regression!B148</f>
        <v>239</v>
      </c>
      <c r="C148" t="str">
        <f>regression!C148</f>
        <v>Media</v>
      </c>
      <c r="D148" t="str">
        <f>regression!D148</f>
        <v>Sr. Unsec.</v>
      </c>
      <c r="E148">
        <f>regression!E148</f>
        <v>0.85134155973196024</v>
      </c>
      <c r="F148">
        <f>regression!F148</f>
        <v>0.66589883362911173</v>
      </c>
      <c r="G148">
        <f>regression!G148</f>
        <v>0.53820000000000001</v>
      </c>
      <c r="H148">
        <f>regression!H148</f>
        <v>4.1470000000000002</v>
      </c>
      <c r="I148">
        <f t="shared" si="6"/>
        <v>0.40754150608475581</v>
      </c>
      <c r="J148">
        <f t="shared" si="4"/>
        <v>0.66981757376365425</v>
      </c>
      <c r="K148">
        <f t="shared" si="5"/>
        <v>0.61415620329118958</v>
      </c>
    </row>
    <row r="149" spans="1:11" x14ac:dyDescent="0.25">
      <c r="A149">
        <f>regression!A149</f>
        <v>2009</v>
      </c>
      <c r="B149">
        <f>regression!B149</f>
        <v>240</v>
      </c>
      <c r="C149" t="str">
        <f>regression!C149</f>
        <v>Media</v>
      </c>
      <c r="D149" t="str">
        <f>regression!D149</f>
        <v>Sr. Unsec.</v>
      </c>
      <c r="E149">
        <f>regression!E149</f>
        <v>0.51029405100047587</v>
      </c>
      <c r="F149">
        <f>regression!F149</f>
        <v>0.65847385618987841</v>
      </c>
      <c r="G149">
        <f>regression!G149</f>
        <v>0.53820000000000001</v>
      </c>
      <c r="H149">
        <f>regression!H149</f>
        <v>4.1470000000000002</v>
      </c>
      <c r="I149">
        <f t="shared" si="6"/>
        <v>-0.4898823193980637</v>
      </c>
      <c r="J149">
        <f t="shared" si="4"/>
        <v>0.66744392317500001</v>
      </c>
      <c r="K149">
        <f t="shared" si="5"/>
        <v>0.61276973213480246</v>
      </c>
    </row>
    <row r="150" spans="1:11" x14ac:dyDescent="0.25">
      <c r="A150">
        <f>regression!A150</f>
        <v>2009</v>
      </c>
      <c r="B150">
        <f>regression!B150</f>
        <v>242</v>
      </c>
      <c r="C150" t="str">
        <f>regression!C150</f>
        <v>Tech</v>
      </c>
      <c r="D150" t="str">
        <f>regression!D150</f>
        <v>Sr. Unsec.</v>
      </c>
      <c r="E150">
        <f>regression!E150</f>
        <v>8.862982541322717E-2</v>
      </c>
      <c r="F150">
        <f>regression!F150</f>
        <v>0.73895423074298539</v>
      </c>
      <c r="G150">
        <f>regression!G150</f>
        <v>0.53820000000000001</v>
      </c>
      <c r="H150">
        <f>regression!H150</f>
        <v>1.1639999999999999</v>
      </c>
      <c r="I150">
        <f t="shared" si="6"/>
        <v>-1.7692158678941543</v>
      </c>
      <c r="J150">
        <f t="shared" si="4"/>
        <v>0.69317225568463037</v>
      </c>
      <c r="K150">
        <f t="shared" si="5"/>
        <v>0.52221744055592978</v>
      </c>
    </row>
    <row r="151" spans="1:11" x14ac:dyDescent="0.25">
      <c r="A151">
        <f>regression!A151</f>
        <v>2009</v>
      </c>
      <c r="B151">
        <f>regression!B151</f>
        <v>246</v>
      </c>
      <c r="C151" t="str">
        <f>regression!C151</f>
        <v>Retail</v>
      </c>
      <c r="D151" t="str">
        <f>regression!D151</f>
        <v>Sr. Unsec.</v>
      </c>
      <c r="E151">
        <f>regression!E151</f>
        <v>0.49263186832070349</v>
      </c>
      <c r="F151">
        <f>regression!F151</f>
        <v>0.25038502386258227</v>
      </c>
      <c r="G151">
        <f>regression!G151</f>
        <v>0.53820000000000001</v>
      </c>
      <c r="H151">
        <f>regression!H151</f>
        <v>2.2469999999999999</v>
      </c>
      <c r="I151">
        <f t="shared" si="6"/>
        <v>-0.52985129109094842</v>
      </c>
      <c r="J151">
        <f t="shared" si="4"/>
        <v>0.5369842275052793</v>
      </c>
      <c r="K151">
        <f t="shared" si="5"/>
        <v>0.46717342266818074</v>
      </c>
    </row>
    <row r="152" spans="1:11" x14ac:dyDescent="0.25">
      <c r="A152">
        <f>regression!A152</f>
        <v>2009</v>
      </c>
      <c r="B152">
        <f>regression!B152</f>
        <v>247</v>
      </c>
      <c r="C152" t="str">
        <f>regression!C152</f>
        <v>Tech</v>
      </c>
      <c r="D152" t="str">
        <f>regression!D152</f>
        <v>Sr. Unsec.</v>
      </c>
      <c r="E152">
        <f>regression!E152</f>
        <v>0.35819228177070617</v>
      </c>
      <c r="F152">
        <f>regression!F152</f>
        <v>0.44450365524890256</v>
      </c>
      <c r="G152">
        <f>regression!G152</f>
        <v>0.53820000000000001</v>
      </c>
      <c r="H152">
        <f>regression!H152</f>
        <v>1.1639999999999999</v>
      </c>
      <c r="I152">
        <f t="shared" si="6"/>
        <v>-0.84383435725077427</v>
      </c>
      <c r="J152">
        <f t="shared" si="4"/>
        <v>0.59904095527716572</v>
      </c>
      <c r="K152">
        <f t="shared" si="5"/>
        <v>0.46570094750357166</v>
      </c>
    </row>
    <row r="153" spans="1:11" x14ac:dyDescent="0.25">
      <c r="A153">
        <f>regression!A153</f>
        <v>2009</v>
      </c>
      <c r="B153">
        <f>regression!B153</f>
        <v>249</v>
      </c>
      <c r="C153" t="str">
        <f>regression!C153</f>
        <v>Retail</v>
      </c>
      <c r="D153" t="str">
        <f>regression!D153</f>
        <v>Sr. Sub.</v>
      </c>
      <c r="E153">
        <f>regression!E153</f>
        <v>0.97717274736881254</v>
      </c>
      <c r="F153">
        <f>regression!F153</f>
        <v>0.673614494924342</v>
      </c>
      <c r="G153">
        <f>regression!G153</f>
        <v>0.70330000000000004</v>
      </c>
      <c r="H153">
        <f>regression!H153</f>
        <v>2.2469999999999999</v>
      </c>
      <c r="I153">
        <f t="shared" si="6"/>
        <v>1.2216993938198331</v>
      </c>
      <c r="J153">
        <f t="shared" si="4"/>
        <v>0.67228415149067988</v>
      </c>
      <c r="K153">
        <f t="shared" si="5"/>
        <v>0.86743903748865347</v>
      </c>
    </row>
    <row r="154" spans="1:11" x14ac:dyDescent="0.25">
      <c r="A154">
        <f>regression!A154</f>
        <v>2009</v>
      </c>
      <c r="B154">
        <f>regression!B154</f>
        <v>250</v>
      </c>
      <c r="C154" t="str">
        <f>regression!C154</f>
        <v>Cons G</v>
      </c>
      <c r="D154" t="str">
        <f>regression!D154</f>
        <v>Sr. Unsec.</v>
      </c>
      <c r="E154">
        <f>regression!E154</f>
        <v>0.32371388404965407</v>
      </c>
      <c r="F154">
        <f>regression!F154</f>
        <v>0.43904864695045831</v>
      </c>
      <c r="G154">
        <f>regression!G154</f>
        <v>0.53820000000000001</v>
      </c>
      <c r="H154">
        <f>regression!H154</f>
        <v>3.7829999999999999</v>
      </c>
      <c r="I154">
        <f t="shared" si="6"/>
        <v>-0.93031627031247055</v>
      </c>
      <c r="J154">
        <f t="shared" si="4"/>
        <v>0.59729707339137073</v>
      </c>
      <c r="K154">
        <f t="shared" si="5"/>
        <v>0.55835815305809089</v>
      </c>
    </row>
    <row r="155" spans="1:11" x14ac:dyDescent="0.25">
      <c r="A155">
        <f>regression!A155</f>
        <v>2009</v>
      </c>
      <c r="B155">
        <f>regression!B155</f>
        <v>251</v>
      </c>
      <c r="C155" t="str">
        <f>regression!C155</f>
        <v>Cons G</v>
      </c>
      <c r="D155" t="str">
        <f>regression!D155</f>
        <v>Sr. Unsec.</v>
      </c>
      <c r="E155">
        <f>regression!E155</f>
        <v>0.66207795114219192</v>
      </c>
      <c r="F155">
        <f>regression!F155</f>
        <v>0.35942784034876663</v>
      </c>
      <c r="G155">
        <f>regression!G155</f>
        <v>0.53820000000000001</v>
      </c>
      <c r="H155">
        <f>regression!H155</f>
        <v>3.7829999999999999</v>
      </c>
      <c r="I155">
        <f t="shared" si="6"/>
        <v>-0.13903291576170321</v>
      </c>
      <c r="J155">
        <f t="shared" si="4"/>
        <v>0.57184353147747791</v>
      </c>
      <c r="K155">
        <f t="shared" si="5"/>
        <v>0.54309125584157247</v>
      </c>
    </row>
    <row r="156" spans="1:11" x14ac:dyDescent="0.25">
      <c r="A156">
        <f>regression!A156</f>
        <v>2009</v>
      </c>
      <c r="B156">
        <f>regression!B156</f>
        <v>252</v>
      </c>
      <c r="C156" t="str">
        <f>regression!C156</f>
        <v>Media</v>
      </c>
      <c r="D156" t="str">
        <f>regression!D156</f>
        <v>Sr. Unsec.</v>
      </c>
      <c r="E156">
        <f>regression!E156</f>
        <v>0.95300739255666733</v>
      </c>
      <c r="F156">
        <f>regression!F156</f>
        <v>0.24697151025476613</v>
      </c>
      <c r="G156">
        <f>regression!G156</f>
        <v>0.53820000000000001</v>
      </c>
      <c r="H156">
        <f>regression!H156</f>
        <v>4.1470000000000002</v>
      </c>
      <c r="I156">
        <f t="shared" si="6"/>
        <v>0.94882327228580854</v>
      </c>
      <c r="J156">
        <f t="shared" si="4"/>
        <v>0.53589297993572316</v>
      </c>
      <c r="K156">
        <f t="shared" si="5"/>
        <v>0.53451753171645189</v>
      </c>
    </row>
    <row r="157" spans="1:11" x14ac:dyDescent="0.25">
      <c r="A157">
        <f>regression!A157</f>
        <v>2009</v>
      </c>
      <c r="B157">
        <f>regression!B157</f>
        <v>254</v>
      </c>
      <c r="C157" t="str">
        <f>regression!C157</f>
        <v>Retail</v>
      </c>
      <c r="D157" t="str">
        <f>regression!D157</f>
        <v>Sub.</v>
      </c>
      <c r="E157">
        <f>regression!E157</f>
        <v>0.19007125760018828</v>
      </c>
      <c r="F157">
        <f>regression!F157</f>
        <v>0.21715760377228188</v>
      </c>
      <c r="G157">
        <f>regression!G157</f>
        <v>0.71150000000000002</v>
      </c>
      <c r="H157">
        <f>regression!H157</f>
        <v>2.2469999999999999</v>
      </c>
      <c r="I157">
        <f t="shared" si="6"/>
        <v>-1.3213943681178615</v>
      </c>
      <c r="J157">
        <f t="shared" si="4"/>
        <v>0.52636193458893232</v>
      </c>
      <c r="K157">
        <f t="shared" si="5"/>
        <v>0.82513290473676981</v>
      </c>
    </row>
    <row r="158" spans="1:11" x14ac:dyDescent="0.25">
      <c r="A158">
        <f>regression!A158</f>
        <v>2009</v>
      </c>
      <c r="B158">
        <f>regression!B158</f>
        <v>255</v>
      </c>
      <c r="C158" t="str">
        <f>regression!C158</f>
        <v>Tech</v>
      </c>
      <c r="D158" t="str">
        <f>regression!D158</f>
        <v>Sr. Sub.</v>
      </c>
      <c r="E158">
        <f>regression!E158</f>
        <v>0.36671762282848364</v>
      </c>
      <c r="F158">
        <f>regression!F158</f>
        <v>0.40926759385623701</v>
      </c>
      <c r="G158">
        <f>regression!G158</f>
        <v>0.70330000000000004</v>
      </c>
      <c r="H158">
        <f>regression!H158</f>
        <v>1.1639999999999999</v>
      </c>
      <c r="I158">
        <f t="shared" si="6"/>
        <v>-0.82298229912807663</v>
      </c>
      <c r="J158">
        <f t="shared" si="4"/>
        <v>0.58777653076529879</v>
      </c>
      <c r="K158">
        <f t="shared" si="5"/>
        <v>0.81066780941853922</v>
      </c>
    </row>
    <row r="159" spans="1:11" x14ac:dyDescent="0.25">
      <c r="A159">
        <f>regression!A159</f>
        <v>2009</v>
      </c>
      <c r="B159">
        <f>regression!B159</f>
        <v>256</v>
      </c>
      <c r="C159" t="str">
        <f>regression!C159</f>
        <v>Transp</v>
      </c>
      <c r="D159" t="str">
        <f>regression!D159</f>
        <v>Sr. Unsec.</v>
      </c>
      <c r="E159">
        <f>regression!E159</f>
        <v>0.94242872112989429</v>
      </c>
      <c r="F159">
        <f>regression!F159</f>
        <v>0.2678318466214501</v>
      </c>
      <c r="G159">
        <f>regression!G159</f>
        <v>0.53820000000000001</v>
      </c>
      <c r="H159">
        <f>regression!H159</f>
        <v>2.9630000000000001</v>
      </c>
      <c r="I159">
        <f t="shared" si="6"/>
        <v>0.86465377474957894</v>
      </c>
      <c r="J159">
        <f t="shared" si="4"/>
        <v>0.54256170722837049</v>
      </c>
      <c r="K159">
        <f t="shared" si="5"/>
        <v>0.49608519703406606</v>
      </c>
    </row>
    <row r="160" spans="1:11" x14ac:dyDescent="0.25">
      <c r="A160">
        <f>regression!A160</f>
        <v>2009</v>
      </c>
      <c r="B160">
        <f>regression!B160</f>
        <v>257</v>
      </c>
      <c r="C160" t="str">
        <f>regression!C160</f>
        <v>Retail</v>
      </c>
      <c r="D160" t="str">
        <f>regression!D160</f>
        <v>Sr. Unsec.</v>
      </c>
      <c r="E160">
        <f>regression!E160</f>
        <v>0.95046839225769042</v>
      </c>
      <c r="F160">
        <f>regression!F160</f>
        <v>0.4172269043748118</v>
      </c>
      <c r="G160">
        <f>regression!G160</f>
        <v>0.53820000000000001</v>
      </c>
      <c r="H160">
        <f>regression!H160</f>
        <v>2.2469999999999999</v>
      </c>
      <c r="I160">
        <f t="shared" si="6"/>
        <v>0.92736810803498448</v>
      </c>
      <c r="J160">
        <f t="shared" ref="J160:J223" si="7">oostrend(E$2:E$318,F$2:F$318,F160:H160,A$2:A$318,A160)</f>
        <v>0.59032099938521265</v>
      </c>
      <c r="K160">
        <f t="shared" ref="K160:K223" si="8">BETAINV(NORMSDIST(oostrend(I$2:I$318,F$2:H$318,F160:H160,A$2:A$318,A160)),N$14,N$15)</f>
        <v>0.49915218115641252</v>
      </c>
    </row>
    <row r="161" spans="1:11" x14ac:dyDescent="0.25">
      <c r="A161">
        <f>regression!A161</f>
        <v>2009</v>
      </c>
      <c r="B161">
        <f>regression!B161</f>
        <v>258</v>
      </c>
      <c r="C161" t="str">
        <f>regression!C161</f>
        <v>Media</v>
      </c>
      <c r="D161" t="str">
        <f>regression!D161</f>
        <v>Sr. Sub.</v>
      </c>
      <c r="E161">
        <f>regression!E161</f>
        <v>0.76547121615111835</v>
      </c>
      <c r="F161">
        <f>regression!F161</f>
        <v>0.59756763570141114</v>
      </c>
      <c r="G161">
        <f>regression!G161</f>
        <v>0.70330000000000004</v>
      </c>
      <c r="H161">
        <f>regression!H161</f>
        <v>4.1470000000000002</v>
      </c>
      <c r="I161">
        <f t="shared" si="6"/>
        <v>0.13054154405955357</v>
      </c>
      <c r="J161">
        <f t="shared" si="7"/>
        <v>0.64797314534458472</v>
      </c>
      <c r="K161">
        <f t="shared" si="8"/>
        <v>0.89524253763171524</v>
      </c>
    </row>
    <row r="162" spans="1:11" x14ac:dyDescent="0.25">
      <c r="A162">
        <f>regression!A162</f>
        <v>2009</v>
      </c>
      <c r="B162">
        <f>regression!B162</f>
        <v>259</v>
      </c>
      <c r="C162" t="str">
        <f>regression!C162</f>
        <v>Retail</v>
      </c>
      <c r="D162" t="str">
        <f>regression!D162</f>
        <v>Sr. Sec.</v>
      </c>
      <c r="E162">
        <f>regression!E162</f>
        <v>0.7960560518431663</v>
      </c>
      <c r="F162">
        <f>regression!F162</f>
        <v>0.70146026990053167</v>
      </c>
      <c r="G162">
        <f>regression!G162</f>
        <v>0.36450000000000005</v>
      </c>
      <c r="H162">
        <f>regression!H162</f>
        <v>2.2469999999999999</v>
      </c>
      <c r="I162">
        <f t="shared" si="6"/>
        <v>0.22110510445692622</v>
      </c>
      <c r="J162">
        <f t="shared" si="7"/>
        <v>0.68118601559797232</v>
      </c>
      <c r="K162">
        <f t="shared" si="8"/>
        <v>0.19327827273993536</v>
      </c>
    </row>
    <row r="163" spans="1:11" x14ac:dyDescent="0.25">
      <c r="A163">
        <f>regression!A163</f>
        <v>2009</v>
      </c>
      <c r="B163">
        <f>regression!B163</f>
        <v>261</v>
      </c>
      <c r="C163" t="str">
        <f>regression!C163</f>
        <v>Transp</v>
      </c>
      <c r="D163" t="str">
        <f>regression!D163</f>
        <v>Sr. Sub.</v>
      </c>
      <c r="E163">
        <f>regression!E163</f>
        <v>0.95242508366703982</v>
      </c>
      <c r="F163">
        <f>regression!F163</f>
        <v>0.98756027950686076</v>
      </c>
      <c r="G163">
        <f>regression!G163</f>
        <v>0.70330000000000004</v>
      </c>
      <c r="H163">
        <f>regression!H163</f>
        <v>2.9630000000000001</v>
      </c>
      <c r="I163">
        <f t="shared" si="6"/>
        <v>0.94382361058614961</v>
      </c>
      <c r="J163">
        <f t="shared" si="7"/>
        <v>0.77264776908798394</v>
      </c>
      <c r="K163">
        <f t="shared" si="8"/>
        <v>0.91001251947714856</v>
      </c>
    </row>
    <row r="164" spans="1:11" x14ac:dyDescent="0.25">
      <c r="A164">
        <f>regression!A164</f>
        <v>2009</v>
      </c>
      <c r="B164">
        <f>regression!B164</f>
        <v>262</v>
      </c>
      <c r="C164" t="str">
        <f>regression!C164</f>
        <v>Retail</v>
      </c>
      <c r="D164" t="str">
        <f>regression!D164</f>
        <v>Sr. Sec.</v>
      </c>
      <c r="E164">
        <f>regression!E164</f>
        <v>0.26890961222171783</v>
      </c>
      <c r="F164">
        <f>regression!F164</f>
        <v>0.29899922052295735</v>
      </c>
      <c r="G164">
        <f>regression!G164</f>
        <v>0.36450000000000005</v>
      </c>
      <c r="H164">
        <f>regression!H164</f>
        <v>2.2469999999999999</v>
      </c>
      <c r="I164">
        <f t="shared" si="6"/>
        <v>-1.0771699609381169</v>
      </c>
      <c r="J164">
        <f t="shared" si="7"/>
        <v>0.55252543520109265</v>
      </c>
      <c r="K164">
        <f t="shared" si="8"/>
        <v>0.1464965109159595</v>
      </c>
    </row>
    <row r="165" spans="1:11" x14ac:dyDescent="0.25">
      <c r="A165">
        <f>regression!A165</f>
        <v>2009</v>
      </c>
      <c r="B165">
        <f>regression!B165</f>
        <v>263</v>
      </c>
      <c r="C165" t="str">
        <f>regression!C165</f>
        <v>Cons G</v>
      </c>
      <c r="D165" t="str">
        <f>regression!D165</f>
        <v>Sr. Unsec.</v>
      </c>
      <c r="E165">
        <f>regression!E165</f>
        <v>0.71268552166223531</v>
      </c>
      <c r="F165">
        <f>regression!F165</f>
        <v>0.59068313439824016</v>
      </c>
      <c r="G165">
        <f>regression!G165</f>
        <v>0.53820000000000001</v>
      </c>
      <c r="H165">
        <f>regression!H165</f>
        <v>3.7829999999999999</v>
      </c>
      <c r="I165">
        <f t="shared" si="6"/>
        <v>-1.2492346668616428E-2</v>
      </c>
      <c r="J165">
        <f t="shared" si="7"/>
        <v>0.64577227662752779</v>
      </c>
      <c r="K165">
        <f t="shared" si="8"/>
        <v>0.58724577536216693</v>
      </c>
    </row>
    <row r="166" spans="1:11" x14ac:dyDescent="0.25">
      <c r="A166">
        <f>regression!A166</f>
        <v>2009</v>
      </c>
      <c r="B166">
        <f>regression!B166</f>
        <v>264</v>
      </c>
      <c r="C166" t="str">
        <f>regression!C166</f>
        <v>Cons G</v>
      </c>
      <c r="D166" t="str">
        <f>regression!D166</f>
        <v>Sr. Unsec.</v>
      </c>
      <c r="E166">
        <f>regression!E166</f>
        <v>0.95202806037664411</v>
      </c>
      <c r="F166">
        <f>regression!F166</f>
        <v>0.80162848822914079</v>
      </c>
      <c r="G166">
        <f>regression!G166</f>
        <v>0.53820000000000001</v>
      </c>
      <c r="H166">
        <f>regression!H166</f>
        <v>3.7829999999999999</v>
      </c>
      <c r="I166">
        <f t="shared" si="6"/>
        <v>0.94044231009023771</v>
      </c>
      <c r="J166">
        <f t="shared" si="7"/>
        <v>0.71320824763113833</v>
      </c>
      <c r="K166">
        <f t="shared" si="8"/>
        <v>0.62677396621878512</v>
      </c>
    </row>
    <row r="167" spans="1:11" x14ac:dyDescent="0.25">
      <c r="A167">
        <f>regression!A167</f>
        <v>2009</v>
      </c>
      <c r="B167">
        <f>regression!B167</f>
        <v>265</v>
      </c>
      <c r="C167" t="str">
        <f>regression!C167</f>
        <v>Media</v>
      </c>
      <c r="D167" t="str">
        <f>regression!D167</f>
        <v>Sr. Sec.</v>
      </c>
      <c r="E167">
        <f>regression!E167</f>
        <v>0.70312559947967523</v>
      </c>
      <c r="F167">
        <f>regression!F167</f>
        <v>0.73723254419325734</v>
      </c>
      <c r="G167">
        <f>regression!G167</f>
        <v>0.36450000000000005</v>
      </c>
      <c r="H167">
        <f>regression!H167</f>
        <v>4.1470000000000002</v>
      </c>
      <c r="I167">
        <f t="shared" si="6"/>
        <v>-3.7047828670183795E-2</v>
      </c>
      <c r="J167">
        <f t="shared" si="7"/>
        <v>0.69262185909074359</v>
      </c>
      <c r="K167">
        <f t="shared" si="8"/>
        <v>0.24683765962944659</v>
      </c>
    </row>
    <row r="168" spans="1:11" x14ac:dyDescent="0.25">
      <c r="A168">
        <f>regression!A168</f>
        <v>2009</v>
      </c>
      <c r="B168">
        <f>regression!B168</f>
        <v>265</v>
      </c>
      <c r="C168" t="str">
        <f>regression!C168</f>
        <v>Media</v>
      </c>
      <c r="D168" t="str">
        <f>regression!D168</f>
        <v>Sr. Unsec.</v>
      </c>
      <c r="E168">
        <f>regression!E168</f>
        <v>0.77991677657961844</v>
      </c>
      <c r="F168">
        <f>regression!F168</f>
        <v>0.73723254419325734</v>
      </c>
      <c r="G168">
        <f>regression!G168</f>
        <v>0.53820000000000001</v>
      </c>
      <c r="H168">
        <f>regression!H168</f>
        <v>4.1470000000000002</v>
      </c>
      <c r="I168">
        <f t="shared" si="6"/>
        <v>0.17245757524102706</v>
      </c>
      <c r="J168">
        <f t="shared" si="7"/>
        <v>0.69262185909074359</v>
      </c>
      <c r="K168">
        <f t="shared" si="8"/>
        <v>0.62741046364128239</v>
      </c>
    </row>
    <row r="169" spans="1:11" x14ac:dyDescent="0.25">
      <c r="A169">
        <f>regression!A169</f>
        <v>2009</v>
      </c>
      <c r="B169">
        <f>regression!B169</f>
        <v>268</v>
      </c>
      <c r="C169" t="str">
        <f>regression!C169</f>
        <v>Transp</v>
      </c>
      <c r="D169" t="str">
        <f>regression!D169</f>
        <v>Sr. Unsec.</v>
      </c>
      <c r="E169">
        <f>regression!E169</f>
        <v>0.86799467037558553</v>
      </c>
      <c r="F169">
        <f>regression!F169</f>
        <v>0.20755952822252047</v>
      </c>
      <c r="G169">
        <f>regression!G169</f>
        <v>0.53820000000000001</v>
      </c>
      <c r="H169">
        <f>regression!H169</f>
        <v>2.9630000000000001</v>
      </c>
      <c r="I169">
        <f t="shared" si="6"/>
        <v>0.47214031646448218</v>
      </c>
      <c r="J169">
        <f t="shared" si="7"/>
        <v>0.52329357810366439</v>
      </c>
      <c r="K169">
        <f t="shared" si="8"/>
        <v>0.48451399545381157</v>
      </c>
    </row>
    <row r="170" spans="1:11" x14ac:dyDescent="0.25">
      <c r="A170">
        <f>regression!A170</f>
        <v>2009</v>
      </c>
      <c r="B170">
        <f>regression!B170</f>
        <v>269</v>
      </c>
      <c r="C170" t="str">
        <f>regression!C170</f>
        <v>Retail</v>
      </c>
      <c r="D170" t="str">
        <f>regression!D170</f>
        <v>Sr. Unsec.</v>
      </c>
      <c r="E170">
        <f>regression!E170</f>
        <v>0.8421996424257755</v>
      </c>
      <c r="F170">
        <f>regression!F170</f>
        <v>0.26449665013351131</v>
      </c>
      <c r="G170">
        <f>regression!G170</f>
        <v>0.53820000000000001</v>
      </c>
      <c r="H170">
        <f>regression!H170</f>
        <v>2.2469999999999999</v>
      </c>
      <c r="I170">
        <f t="shared" si="6"/>
        <v>0.37406027723356777</v>
      </c>
      <c r="J170">
        <f t="shared" si="7"/>
        <v>0.54149549643222139</v>
      </c>
      <c r="K170">
        <f t="shared" si="8"/>
        <v>0.46986854043568749</v>
      </c>
    </row>
    <row r="171" spans="1:11" x14ac:dyDescent="0.25">
      <c r="A171">
        <f>regression!A171</f>
        <v>2009</v>
      </c>
      <c r="B171">
        <f>regression!B171</f>
        <v>270</v>
      </c>
      <c r="C171" t="str">
        <f>regression!C171</f>
        <v>Media</v>
      </c>
      <c r="D171" t="str">
        <f>regression!D171</f>
        <v>Sr. Sec.</v>
      </c>
      <c r="E171">
        <f>regression!E171</f>
        <v>3.6812083983421395E-2</v>
      </c>
      <c r="F171">
        <f>regression!F171</f>
        <v>0.38179100618990275</v>
      </c>
      <c r="G171">
        <f>regression!G171</f>
        <v>0.36450000000000005</v>
      </c>
      <c r="H171">
        <f>regression!H171</f>
        <v>4.1470000000000002</v>
      </c>
      <c r="I171">
        <f t="shared" si="6"/>
        <v>-2.1950775214927249</v>
      </c>
      <c r="J171">
        <f t="shared" si="7"/>
        <v>0.57899269013788013</v>
      </c>
      <c r="K171">
        <f t="shared" si="8"/>
        <v>0.19768429600700838</v>
      </c>
    </row>
    <row r="172" spans="1:11" x14ac:dyDescent="0.25">
      <c r="A172">
        <f>regression!A172</f>
        <v>2009</v>
      </c>
      <c r="B172">
        <f>regression!B172</f>
        <v>270</v>
      </c>
      <c r="C172" t="str">
        <f>regression!C172</f>
        <v>Media</v>
      </c>
      <c r="D172" t="str">
        <f>regression!D172</f>
        <v>Sr. Sub.</v>
      </c>
      <c r="E172">
        <f>regression!E172</f>
        <v>0.3598488928496838</v>
      </c>
      <c r="F172">
        <f>regression!F172</f>
        <v>0.38179100618990275</v>
      </c>
      <c r="G172">
        <f>regression!G172</f>
        <v>0.70330000000000004</v>
      </c>
      <c r="H172">
        <f>regression!H172</f>
        <v>4.1470000000000002</v>
      </c>
      <c r="I172">
        <f t="shared" si="6"/>
        <v>-0.83976761337479111</v>
      </c>
      <c r="J172">
        <f t="shared" si="7"/>
        <v>0.57899269013788013</v>
      </c>
      <c r="K172">
        <f t="shared" si="8"/>
        <v>0.87405657630917133</v>
      </c>
    </row>
    <row r="173" spans="1:11" x14ac:dyDescent="0.25">
      <c r="A173">
        <f>regression!A173</f>
        <v>2009</v>
      </c>
      <c r="B173">
        <f>regression!B173</f>
        <v>271</v>
      </c>
      <c r="C173" t="str">
        <f>regression!C173</f>
        <v>Cap Ind</v>
      </c>
      <c r="D173" t="str">
        <f>regression!D173</f>
        <v>Sr. Unsec.</v>
      </c>
      <c r="E173">
        <f>regression!E173</f>
        <v>0.8537117346781492</v>
      </c>
      <c r="F173">
        <f>regression!F173</f>
        <v>0.34853039017747545</v>
      </c>
      <c r="G173">
        <f>regression!G173</f>
        <v>0.53820000000000001</v>
      </c>
      <c r="H173">
        <f>regression!H173</f>
        <v>3.0710000000000002</v>
      </c>
      <c r="I173">
        <f t="shared" si="6"/>
        <v>0.41643664033473721</v>
      </c>
      <c r="J173">
        <f t="shared" si="7"/>
        <v>0.56835978499802908</v>
      </c>
      <c r="K173">
        <f t="shared" si="8"/>
        <v>0.51547746167406328</v>
      </c>
    </row>
    <row r="174" spans="1:11" x14ac:dyDescent="0.25">
      <c r="A174">
        <f>regression!A174</f>
        <v>2009</v>
      </c>
      <c r="B174">
        <f>regression!B174</f>
        <v>272</v>
      </c>
      <c r="C174" t="str">
        <f>regression!C174</f>
        <v>Tech</v>
      </c>
      <c r="D174" t="str">
        <f>regression!D174</f>
        <v>Sr. Unsec.</v>
      </c>
      <c r="E174">
        <f>regression!E174</f>
        <v>0.75894079088091848</v>
      </c>
      <c r="F174">
        <f>regression!F174</f>
        <v>0.77722243634209653</v>
      </c>
      <c r="G174">
        <f>regression!G174</f>
        <v>0.53820000000000001</v>
      </c>
      <c r="H174">
        <f>regression!H174</f>
        <v>1.1639999999999999</v>
      </c>
      <c r="I174">
        <f t="shared" si="6"/>
        <v>0.11203975966040522</v>
      </c>
      <c r="J174">
        <f t="shared" si="7"/>
        <v>0.70540600985970736</v>
      </c>
      <c r="K174">
        <f t="shared" si="8"/>
        <v>0.52957981580009139</v>
      </c>
    </row>
    <row r="175" spans="1:11" x14ac:dyDescent="0.25">
      <c r="A175">
        <f>regression!A175</f>
        <v>2009</v>
      </c>
      <c r="B175">
        <f>regression!B175</f>
        <v>274</v>
      </c>
      <c r="C175" t="str">
        <f>regression!C175</f>
        <v>Retail</v>
      </c>
      <c r="D175" t="str">
        <f>regression!D175</f>
        <v>Sr. Sub.</v>
      </c>
      <c r="E175">
        <f>regression!E175</f>
        <v>0.63494362397372717</v>
      </c>
      <c r="F175">
        <f>regression!F175</f>
        <v>0.28609619222429172</v>
      </c>
      <c r="G175">
        <f>regression!G175</f>
        <v>0.70330000000000004</v>
      </c>
      <c r="H175">
        <f>regression!H175</f>
        <v>2.2469999999999999</v>
      </c>
      <c r="I175">
        <f t="shared" si="6"/>
        <v>-0.20401900909496487</v>
      </c>
      <c r="J175">
        <f t="shared" si="7"/>
        <v>0.54840053637584951</v>
      </c>
      <c r="K175">
        <f t="shared" si="8"/>
        <v>0.82113557733843612</v>
      </c>
    </row>
    <row r="176" spans="1:11" x14ac:dyDescent="0.25">
      <c r="A176">
        <f>regression!A176</f>
        <v>2009</v>
      </c>
      <c r="B176">
        <f>regression!B176</f>
        <v>276</v>
      </c>
      <c r="C176" t="str">
        <f>regression!C176</f>
        <v>Cons G</v>
      </c>
      <c r="D176" t="str">
        <f>regression!D176</f>
        <v>Sr. Sub.</v>
      </c>
      <c r="E176">
        <f>regression!E176</f>
        <v>0.99</v>
      </c>
      <c r="F176">
        <f>regression!F176</f>
        <v>0.56158195382652365</v>
      </c>
      <c r="G176">
        <f>regression!G176</f>
        <v>0.70330000000000004</v>
      </c>
      <c r="H176">
        <f>regression!H176</f>
        <v>3.7829999999999999</v>
      </c>
      <c r="I176">
        <f t="shared" si="6"/>
        <v>1.4954060676963419</v>
      </c>
      <c r="J176">
        <f t="shared" si="7"/>
        <v>0.63646907874444814</v>
      </c>
      <c r="K176">
        <f t="shared" si="8"/>
        <v>0.88538454703222003</v>
      </c>
    </row>
    <row r="177" spans="1:11" x14ac:dyDescent="0.25">
      <c r="A177">
        <f>regression!A177</f>
        <v>2009</v>
      </c>
      <c r="B177">
        <f>regression!B177</f>
        <v>278</v>
      </c>
      <c r="C177" t="str">
        <f>regression!C177</f>
        <v>Media</v>
      </c>
      <c r="D177" t="str">
        <f>regression!D177</f>
        <v>Sr. Unsec.</v>
      </c>
      <c r="E177">
        <f>regression!E177</f>
        <v>0.39764406023621568</v>
      </c>
      <c r="F177">
        <f>regression!F177</f>
        <v>0.57448477540757747</v>
      </c>
      <c r="G177">
        <f>regression!G177</f>
        <v>0.53820000000000001</v>
      </c>
      <c r="H177">
        <f>regression!H177</f>
        <v>4.1470000000000002</v>
      </c>
      <c r="I177">
        <f t="shared" si="6"/>
        <v>-0.74876628298831194</v>
      </c>
      <c r="J177">
        <f t="shared" si="7"/>
        <v>0.64059391148526412</v>
      </c>
      <c r="K177">
        <f t="shared" si="8"/>
        <v>0.59700514479944589</v>
      </c>
    </row>
    <row r="178" spans="1:11" x14ac:dyDescent="0.25">
      <c r="A178">
        <f>regression!A178</f>
        <v>2009</v>
      </c>
      <c r="B178">
        <f>regression!B178</f>
        <v>280</v>
      </c>
      <c r="C178" t="str">
        <f>regression!C178</f>
        <v>Tech</v>
      </c>
      <c r="D178" t="str">
        <f>regression!D178</f>
        <v>Sr. Unsec.</v>
      </c>
      <c r="E178">
        <f>regression!E178</f>
        <v>0.44687385060191165</v>
      </c>
      <c r="F178">
        <f>regression!F178</f>
        <v>0.4209525319634887</v>
      </c>
      <c r="G178">
        <f>regression!G178</f>
        <v>0.53820000000000001</v>
      </c>
      <c r="H178">
        <f>regression!H178</f>
        <v>1.1639999999999999</v>
      </c>
      <c r="I178">
        <f t="shared" si="6"/>
        <v>-0.63411347432043152</v>
      </c>
      <c r="J178">
        <f t="shared" si="7"/>
        <v>0.59151202497301325</v>
      </c>
      <c r="K178">
        <f t="shared" si="8"/>
        <v>0.46121046276640315</v>
      </c>
    </row>
    <row r="179" spans="1:11" x14ac:dyDescent="0.25">
      <c r="A179">
        <f>regression!A179</f>
        <v>2009</v>
      </c>
      <c r="B179">
        <f>regression!B179</f>
        <v>281</v>
      </c>
      <c r="C179" t="str">
        <f>regression!C179</f>
        <v>Transp</v>
      </c>
      <c r="D179" t="str">
        <f>regression!D179</f>
        <v>Sr. Unsec.</v>
      </c>
      <c r="E179">
        <f>regression!E179</f>
        <v>0.63421568502485748</v>
      </c>
      <c r="F179">
        <f>regression!F179</f>
        <v>0.72110379815238079</v>
      </c>
      <c r="G179">
        <f>regression!G179</f>
        <v>0.53820000000000001</v>
      </c>
      <c r="H179">
        <f>regression!H179</f>
        <v>2.9630000000000001</v>
      </c>
      <c r="I179">
        <f t="shared" si="6"/>
        <v>-0.20574119443531871</v>
      </c>
      <c r="J179">
        <f t="shared" si="7"/>
        <v>0.68746574813316808</v>
      </c>
      <c r="K179">
        <f t="shared" si="8"/>
        <v>0.58299859611297034</v>
      </c>
    </row>
    <row r="180" spans="1:11" x14ac:dyDescent="0.25">
      <c r="A180">
        <f>regression!A180</f>
        <v>2009</v>
      </c>
      <c r="B180">
        <f>regression!B180</f>
        <v>282</v>
      </c>
      <c r="C180" t="str">
        <f>regression!C180</f>
        <v>Retail</v>
      </c>
      <c r="D180" t="str">
        <f>regression!D180</f>
        <v>Sr. Unsec.</v>
      </c>
      <c r="E180">
        <f>regression!E180</f>
        <v>0.52271793007850653</v>
      </c>
      <c r="F180">
        <f>regression!F180</f>
        <v>0.50755831472175283</v>
      </c>
      <c r="G180">
        <f>regression!G180</f>
        <v>0.53820000000000001</v>
      </c>
      <c r="H180">
        <f>regression!H180</f>
        <v>2.2469999999999999</v>
      </c>
      <c r="I180">
        <f t="shared" si="6"/>
        <v>-0.46179116776002521</v>
      </c>
      <c r="J180">
        <f t="shared" si="7"/>
        <v>0.61919855586249228</v>
      </c>
      <c r="K180">
        <f t="shared" si="8"/>
        <v>0.51652871869652695</v>
      </c>
    </row>
    <row r="181" spans="1:11" x14ac:dyDescent="0.25">
      <c r="A181">
        <f>regression!A181</f>
        <v>2009</v>
      </c>
      <c r="B181">
        <f>regression!B181</f>
        <v>284</v>
      </c>
      <c r="C181" t="str">
        <f>regression!C181</f>
        <v>Retail</v>
      </c>
      <c r="D181" t="str">
        <f>regression!D181</f>
        <v>Sr. Sub.</v>
      </c>
      <c r="E181">
        <f>regression!E181</f>
        <v>0.95689962032735343</v>
      </c>
      <c r="F181">
        <f>regression!F181</f>
        <v>0.76809214619752908</v>
      </c>
      <c r="G181">
        <f>regression!G181</f>
        <v>0.70330000000000004</v>
      </c>
      <c r="H181">
        <f>regression!H181</f>
        <v>2.2469999999999999</v>
      </c>
      <c r="I181">
        <f t="shared" si="6"/>
        <v>0.98355903717494786</v>
      </c>
      <c r="J181">
        <f t="shared" si="7"/>
        <v>0.70248719714228114</v>
      </c>
      <c r="K181">
        <f t="shared" si="8"/>
        <v>0.87739019736670565</v>
      </c>
    </row>
    <row r="182" spans="1:11" x14ac:dyDescent="0.25">
      <c r="A182">
        <f>regression!A182</f>
        <v>2009</v>
      </c>
      <c r="B182">
        <f>regression!B182</f>
        <v>285</v>
      </c>
      <c r="C182" t="str">
        <f>regression!C182</f>
        <v>Tech</v>
      </c>
      <c r="D182" t="str">
        <f>regression!D182</f>
        <v>Sr. Unsec.</v>
      </c>
      <c r="E182">
        <f>regression!E182</f>
        <v>0.6690551691508293</v>
      </c>
      <c r="F182">
        <f>regression!F182</f>
        <v>0.20230739435107328</v>
      </c>
      <c r="G182">
        <f>regression!G182</f>
        <v>0.53820000000000001</v>
      </c>
      <c r="H182">
        <f>regression!H182</f>
        <v>1.1639999999999999</v>
      </c>
      <c r="I182">
        <f t="shared" si="6"/>
        <v>-0.12204330318880459</v>
      </c>
      <c r="J182">
        <f t="shared" si="7"/>
        <v>0.52161455203824125</v>
      </c>
      <c r="K182">
        <f t="shared" si="8"/>
        <v>0.41993717192527991</v>
      </c>
    </row>
    <row r="183" spans="1:11" x14ac:dyDescent="0.25">
      <c r="A183">
        <f>regression!A183</f>
        <v>2009</v>
      </c>
      <c r="B183">
        <f>regression!B183</f>
        <v>285</v>
      </c>
      <c r="C183" t="str">
        <f>regression!C183</f>
        <v>Tech</v>
      </c>
      <c r="D183" t="str">
        <f>regression!D183</f>
        <v>Sr. Sub.</v>
      </c>
      <c r="E183">
        <f>regression!E183</f>
        <v>0.75606718490719793</v>
      </c>
      <c r="F183">
        <f>regression!F183</f>
        <v>0.20230739435107328</v>
      </c>
      <c r="G183">
        <f>regression!G183</f>
        <v>0.70330000000000004</v>
      </c>
      <c r="H183">
        <f>regression!H183</f>
        <v>1.1639999999999999</v>
      </c>
      <c r="I183">
        <f t="shared" si="6"/>
        <v>0.1039801922708862</v>
      </c>
      <c r="J183">
        <f t="shared" si="7"/>
        <v>0.52161455203824125</v>
      </c>
      <c r="K183">
        <f t="shared" si="8"/>
        <v>0.78146082663835015</v>
      </c>
    </row>
    <row r="184" spans="1:11" x14ac:dyDescent="0.25">
      <c r="A184">
        <f>regression!A184</f>
        <v>2009</v>
      </c>
      <c r="B184">
        <f>regression!B184</f>
        <v>286</v>
      </c>
      <c r="C184" t="str">
        <f>regression!C184</f>
        <v>Transp</v>
      </c>
      <c r="D184" t="str">
        <f>regression!D184</f>
        <v>Sr. Unsec.</v>
      </c>
      <c r="E184">
        <f>regression!E184</f>
        <v>0.93317426457405084</v>
      </c>
      <c r="F184">
        <f>regression!F184</f>
        <v>0.40395245441681715</v>
      </c>
      <c r="G184">
        <f>regression!G184</f>
        <v>0.53820000000000001</v>
      </c>
      <c r="H184">
        <f>regression!H184</f>
        <v>2.9630000000000001</v>
      </c>
      <c r="I184">
        <f t="shared" si="6"/>
        <v>0.80032697583600931</v>
      </c>
      <c r="J184">
        <f t="shared" si="7"/>
        <v>0.58607736279308464</v>
      </c>
      <c r="K184">
        <f t="shared" si="8"/>
        <v>0.52226926678649843</v>
      </c>
    </row>
    <row r="185" spans="1:11" x14ac:dyDescent="0.25">
      <c r="A185">
        <f>regression!A185</f>
        <v>2009</v>
      </c>
      <c r="B185">
        <f>regression!B185</f>
        <v>287</v>
      </c>
      <c r="C185" t="str">
        <f>regression!C185</f>
        <v>Retail</v>
      </c>
      <c r="D185" t="str">
        <f>regression!D185</f>
        <v>Sr. Sec.</v>
      </c>
      <c r="E185">
        <f>regression!E185</f>
        <v>0.80035676061511041</v>
      </c>
      <c r="F185">
        <f>regression!F185</f>
        <v>0.20529730333362298</v>
      </c>
      <c r="G185">
        <f>regression!G185</f>
        <v>0.36450000000000005</v>
      </c>
      <c r="H185">
        <f>regression!H185</f>
        <v>2.2469999999999999</v>
      </c>
      <c r="I185">
        <f t="shared" si="6"/>
        <v>0.23443110952118948</v>
      </c>
      <c r="J185">
        <f t="shared" si="7"/>
        <v>0.52257037975280796</v>
      </c>
      <c r="K185">
        <f t="shared" si="8"/>
        <v>0.13684823358834292</v>
      </c>
    </row>
    <row r="186" spans="1:11" x14ac:dyDescent="0.25">
      <c r="A186">
        <f>regression!A186</f>
        <v>2009</v>
      </c>
      <c r="B186">
        <f>regression!B186</f>
        <v>291</v>
      </c>
      <c r="C186" t="str">
        <f>regression!C186</f>
        <v>Tech</v>
      </c>
      <c r="D186" t="str">
        <f>regression!D186</f>
        <v>Sr. Sub.</v>
      </c>
      <c r="E186">
        <f>regression!E186</f>
        <v>0.99</v>
      </c>
      <c r="F186">
        <f>regression!F186</f>
        <v>0.53293711866719895</v>
      </c>
      <c r="G186">
        <f>regression!G186</f>
        <v>0.70330000000000004</v>
      </c>
      <c r="H186">
        <f>regression!H186</f>
        <v>1.1639999999999999</v>
      </c>
      <c r="I186">
        <f t="shared" si="6"/>
        <v>1.4954060676963419</v>
      </c>
      <c r="J186">
        <f t="shared" si="7"/>
        <v>0.62731176744023276</v>
      </c>
      <c r="K186">
        <f t="shared" si="8"/>
        <v>0.82696447312224863</v>
      </c>
    </row>
    <row r="187" spans="1:11" x14ac:dyDescent="0.25">
      <c r="A187">
        <f>regression!A187</f>
        <v>2009</v>
      </c>
      <c r="B187">
        <f>regression!B187</f>
        <v>292</v>
      </c>
      <c r="C187" t="str">
        <f>regression!C187</f>
        <v>Transp</v>
      </c>
      <c r="D187" t="str">
        <f>regression!D187</f>
        <v>Sr. Sub.</v>
      </c>
      <c r="E187">
        <f>regression!E187</f>
        <v>0.90418335014581674</v>
      </c>
      <c r="F187">
        <f>regression!F187</f>
        <v>0.80430074669163809</v>
      </c>
      <c r="G187">
        <f>regression!G187</f>
        <v>0.70330000000000004</v>
      </c>
      <c r="H187">
        <f>regression!H187</f>
        <v>2.9630000000000001</v>
      </c>
      <c r="I187">
        <f t="shared" si="6"/>
        <v>0.63451114527067565</v>
      </c>
      <c r="J187">
        <f t="shared" si="7"/>
        <v>0.71406252738140763</v>
      </c>
      <c r="K187">
        <f t="shared" si="8"/>
        <v>0.89395632358271149</v>
      </c>
    </row>
    <row r="188" spans="1:11" x14ac:dyDescent="0.25">
      <c r="A188">
        <f>regression!A188</f>
        <v>2009</v>
      </c>
      <c r="B188">
        <f>regression!B188</f>
        <v>293</v>
      </c>
      <c r="C188" t="str">
        <f>regression!C188</f>
        <v>Retail</v>
      </c>
      <c r="D188" t="str">
        <f>regression!D188</f>
        <v>Sr. Unsec.</v>
      </c>
      <c r="E188">
        <f>regression!E188</f>
        <v>0.17954934431314473</v>
      </c>
      <c r="F188">
        <f>regression!F188</f>
        <v>0.26</v>
      </c>
      <c r="G188">
        <f>regression!G188</f>
        <v>0.53820000000000001</v>
      </c>
      <c r="H188">
        <f>regression!H188</f>
        <v>2.2469999999999999</v>
      </c>
      <c r="I188">
        <f t="shared" si="6"/>
        <v>-1.3584901571439718</v>
      </c>
      <c r="J188">
        <f t="shared" si="7"/>
        <v>0.54005798684734607</v>
      </c>
      <c r="K188">
        <f t="shared" si="8"/>
        <v>0.46900950132268165</v>
      </c>
    </row>
    <row r="189" spans="1:11" x14ac:dyDescent="0.25">
      <c r="A189">
        <f>regression!A189</f>
        <v>2009</v>
      </c>
      <c r="B189">
        <f>regression!B189</f>
        <v>294</v>
      </c>
      <c r="C189" t="str">
        <f>regression!C189</f>
        <v>Media</v>
      </c>
      <c r="D189" t="str">
        <f>regression!D189</f>
        <v>Sr. Unsec.</v>
      </c>
      <c r="E189">
        <f>regression!E189</f>
        <v>0.73442811673939223</v>
      </c>
      <c r="F189">
        <f>regression!F189</f>
        <v>0.15419697176703626</v>
      </c>
      <c r="G189">
        <f>regression!G189</f>
        <v>0.53820000000000001</v>
      </c>
      <c r="H189">
        <f>regression!H189</f>
        <v>4.1470000000000002</v>
      </c>
      <c r="I189">
        <f t="shared" si="6"/>
        <v>4.4751786231122734E-2</v>
      </c>
      <c r="J189">
        <f t="shared" si="7"/>
        <v>0.50623439313249285</v>
      </c>
      <c r="K189">
        <f t="shared" si="8"/>
        <v>0.51666970861674466</v>
      </c>
    </row>
    <row r="190" spans="1:11" x14ac:dyDescent="0.25">
      <c r="A190">
        <f>regression!A190</f>
        <v>2009</v>
      </c>
      <c r="B190">
        <f>regression!B190</f>
        <v>296</v>
      </c>
      <c r="C190" t="str">
        <f>regression!C190</f>
        <v>Cap Ind</v>
      </c>
      <c r="D190" t="str">
        <f>regression!D190</f>
        <v>Sr. Unsec.</v>
      </c>
      <c r="E190">
        <f>regression!E190</f>
        <v>0.31161118421554568</v>
      </c>
      <c r="F190">
        <f>regression!F190</f>
        <v>0.83613666139200893</v>
      </c>
      <c r="G190">
        <f>regression!G190</f>
        <v>0.53820000000000001</v>
      </c>
      <c r="H190">
        <f>regression!H190</f>
        <v>3.0710000000000002</v>
      </c>
      <c r="I190">
        <f t="shared" si="6"/>
        <v>-0.96162764571478676</v>
      </c>
      <c r="J190">
        <f t="shared" si="7"/>
        <v>0.72423997752012281</v>
      </c>
      <c r="K190">
        <f t="shared" si="8"/>
        <v>0.60849227479724388</v>
      </c>
    </row>
    <row r="191" spans="1:11" x14ac:dyDescent="0.25">
      <c r="A191">
        <f>regression!A191</f>
        <v>2009</v>
      </c>
      <c r="B191">
        <f>regression!B191</f>
        <v>297</v>
      </c>
      <c r="C191" t="str">
        <f>regression!C191</f>
        <v>Transp</v>
      </c>
      <c r="D191" t="str">
        <f>regression!D191</f>
        <v>Sr. Sec.</v>
      </c>
      <c r="E191">
        <f>regression!E191</f>
        <v>0.99</v>
      </c>
      <c r="F191">
        <f>regression!F191</f>
        <v>0.79899392036391048</v>
      </c>
      <c r="G191">
        <f>regression!G191</f>
        <v>0.36450000000000005</v>
      </c>
      <c r="H191">
        <f>regression!H191</f>
        <v>2.9630000000000001</v>
      </c>
      <c r="I191">
        <f t="shared" si="6"/>
        <v>1.4954060676963419</v>
      </c>
      <c r="J191">
        <f t="shared" si="7"/>
        <v>0.71236601698258317</v>
      </c>
      <c r="K191">
        <f t="shared" si="8"/>
        <v>0.2240487002098526</v>
      </c>
    </row>
    <row r="192" spans="1:11" x14ac:dyDescent="0.25">
      <c r="A192">
        <f>regression!A192</f>
        <v>2009</v>
      </c>
      <c r="B192">
        <f>regression!B192</f>
        <v>298</v>
      </c>
      <c r="C192" t="str">
        <f>regression!C192</f>
        <v>Retail</v>
      </c>
      <c r="D192" t="str">
        <f>regression!D192</f>
        <v>Sr. Sec.</v>
      </c>
      <c r="E192">
        <f>regression!E192</f>
        <v>0.97222836809337143</v>
      </c>
      <c r="F192">
        <f>regression!F192</f>
        <v>0.52323991972374306</v>
      </c>
      <c r="G192">
        <f>regression!G192</f>
        <v>0.36450000000000005</v>
      </c>
      <c r="H192">
        <f>regression!H192</f>
        <v>2.2469999999999999</v>
      </c>
      <c r="I192">
        <f t="shared" si="6"/>
        <v>1.1511894684006854</v>
      </c>
      <c r="J192">
        <f t="shared" si="7"/>
        <v>0.62421172273722703</v>
      </c>
      <c r="K192">
        <f t="shared" si="8"/>
        <v>0.17148700036811559</v>
      </c>
    </row>
    <row r="193" spans="1:11" x14ac:dyDescent="0.25">
      <c r="A193">
        <f>regression!A193</f>
        <v>2009</v>
      </c>
      <c r="B193">
        <f>regression!B193</f>
        <v>298</v>
      </c>
      <c r="C193" t="str">
        <f>regression!C193</f>
        <v>Retail</v>
      </c>
      <c r="D193" t="str">
        <f>regression!D193</f>
        <v>Sr. Sub.</v>
      </c>
      <c r="E193">
        <f>regression!E193</f>
        <v>0.99</v>
      </c>
      <c r="F193">
        <f>regression!F193</f>
        <v>0.52323991972374306</v>
      </c>
      <c r="G193">
        <f>regression!G193</f>
        <v>0.70330000000000004</v>
      </c>
      <c r="H193">
        <f>regression!H193</f>
        <v>2.2469999999999999</v>
      </c>
      <c r="I193">
        <f t="shared" si="6"/>
        <v>1.4954060676963419</v>
      </c>
      <c r="J193">
        <f t="shared" si="7"/>
        <v>0.62421172273722703</v>
      </c>
      <c r="K193">
        <f t="shared" si="8"/>
        <v>0.85051859875380764</v>
      </c>
    </row>
    <row r="194" spans="1:11" x14ac:dyDescent="0.25">
      <c r="A194">
        <f>regression!A194</f>
        <v>2009</v>
      </c>
      <c r="B194">
        <f>regression!B194</f>
        <v>299</v>
      </c>
      <c r="C194" t="str">
        <f>regression!C194</f>
        <v>Cap Ind</v>
      </c>
      <c r="D194" t="str">
        <f>regression!D194</f>
        <v>Sr. Sec.</v>
      </c>
      <c r="E194">
        <f>regression!E194</f>
        <v>0.95712530286908148</v>
      </c>
      <c r="F194">
        <f>regression!F194</f>
        <v>0.57425796295392195</v>
      </c>
      <c r="G194">
        <f>regression!G194</f>
        <v>0.36450000000000005</v>
      </c>
      <c r="H194">
        <f>regression!H194</f>
        <v>3.0710000000000002</v>
      </c>
      <c r="I194">
        <f t="shared" si="6"/>
        <v>0.98564816102249397</v>
      </c>
      <c r="J194">
        <f t="shared" si="7"/>
        <v>0.64052140304755645</v>
      </c>
      <c r="K194">
        <f t="shared" si="8"/>
        <v>0.19664673552595235</v>
      </c>
    </row>
    <row r="195" spans="1:11" x14ac:dyDescent="0.25">
      <c r="A195">
        <f>regression!A195</f>
        <v>2009</v>
      </c>
      <c r="B195">
        <f>regression!B195</f>
        <v>300</v>
      </c>
      <c r="C195" t="str">
        <f>regression!C195</f>
        <v>Cons G</v>
      </c>
      <c r="D195" t="str">
        <f>regression!D195</f>
        <v>Sr. Unsec.</v>
      </c>
      <c r="E195">
        <f>regression!E195</f>
        <v>0.76154080167412763</v>
      </c>
      <c r="F195">
        <f>regression!F195</f>
        <v>0.92330403535137462</v>
      </c>
      <c r="G195">
        <f>regression!G195</f>
        <v>0.53820000000000001</v>
      </c>
      <c r="H195">
        <f>regression!H195</f>
        <v>3.7829999999999999</v>
      </c>
      <c r="I195">
        <f t="shared" ref="I195:I258" si="9">NORMSINV(BETADIST(E195,N$14,N$15))</f>
        <v>0.11937455053312665</v>
      </c>
      <c r="J195">
        <f t="shared" si="7"/>
        <v>0.75210604044131335</v>
      </c>
      <c r="K195">
        <f t="shared" si="8"/>
        <v>0.64908560362280421</v>
      </c>
    </row>
    <row r="196" spans="1:11" x14ac:dyDescent="0.25">
      <c r="A196">
        <f>regression!A196</f>
        <v>2009</v>
      </c>
      <c r="B196">
        <f>regression!B196</f>
        <v>301</v>
      </c>
      <c r="C196" t="str">
        <f>regression!C196</f>
        <v>Media</v>
      </c>
      <c r="D196" t="str">
        <f>regression!D196</f>
        <v>Sr. Unsec.</v>
      </c>
      <c r="E196">
        <f>regression!E196</f>
        <v>0.55943084918260577</v>
      </c>
      <c r="F196">
        <f>regression!F196</f>
        <v>0.23143630736515952</v>
      </c>
      <c r="G196">
        <f>regression!G196</f>
        <v>0.53820000000000001</v>
      </c>
      <c r="H196">
        <f>regression!H196</f>
        <v>4.1470000000000002</v>
      </c>
      <c r="I196">
        <f t="shared" si="9"/>
        <v>-0.3786068649051757</v>
      </c>
      <c r="J196">
        <f t="shared" si="7"/>
        <v>0.53092661555474452</v>
      </c>
      <c r="K196">
        <f t="shared" si="8"/>
        <v>0.53153032285463231</v>
      </c>
    </row>
    <row r="197" spans="1:11" x14ac:dyDescent="0.25">
      <c r="A197">
        <f>regression!A197</f>
        <v>2009</v>
      </c>
      <c r="B197">
        <f>regression!B197</f>
        <v>302</v>
      </c>
      <c r="C197" t="str">
        <f>regression!C197</f>
        <v>Media</v>
      </c>
      <c r="D197" t="str">
        <f>regression!D197</f>
        <v>Sr. Unsec.</v>
      </c>
      <c r="E197">
        <f>regression!E197</f>
        <v>9.6788762124776939E-2</v>
      </c>
      <c r="F197">
        <f>regression!F197</f>
        <v>0.6848675407554724</v>
      </c>
      <c r="G197">
        <f>regression!G197</f>
        <v>0.53820000000000001</v>
      </c>
      <c r="H197">
        <f>regression!H197</f>
        <v>4.1470000000000002</v>
      </c>
      <c r="I197">
        <f t="shared" si="9"/>
        <v>-1.7220824741867213</v>
      </c>
      <c r="J197">
        <f t="shared" si="7"/>
        <v>0.67588157640945168</v>
      </c>
      <c r="K197">
        <f t="shared" si="8"/>
        <v>0.61769255175859228</v>
      </c>
    </row>
    <row r="198" spans="1:11" x14ac:dyDescent="0.25">
      <c r="A198">
        <f>regression!A198</f>
        <v>2009</v>
      </c>
      <c r="B198">
        <f>regression!B198</f>
        <v>302</v>
      </c>
      <c r="C198" t="str">
        <f>regression!C198</f>
        <v>Media</v>
      </c>
      <c r="D198" t="str">
        <f>regression!D198</f>
        <v>Sub.</v>
      </c>
      <c r="E198">
        <f>regression!E198</f>
        <v>4.2263957858085677E-2</v>
      </c>
      <c r="F198">
        <f>regression!F198</f>
        <v>0.6848675407554724</v>
      </c>
      <c r="G198">
        <f>regression!G198</f>
        <v>0.71150000000000002</v>
      </c>
      <c r="H198">
        <f>regression!H198</f>
        <v>4.1470000000000002</v>
      </c>
      <c r="I198">
        <f t="shared" si="9"/>
        <v>-2.1326682932505214</v>
      </c>
      <c r="J198">
        <f t="shared" si="7"/>
        <v>0.67588157640945168</v>
      </c>
      <c r="K198">
        <f t="shared" si="8"/>
        <v>0.91146208706507548</v>
      </c>
    </row>
    <row r="199" spans="1:11" x14ac:dyDescent="0.25">
      <c r="A199">
        <f>regression!A199</f>
        <v>2009</v>
      </c>
      <c r="B199">
        <f>regression!B199</f>
        <v>303</v>
      </c>
      <c r="C199" t="str">
        <f>regression!C199</f>
        <v>Tech</v>
      </c>
      <c r="D199" t="str">
        <f>regression!D199</f>
        <v>Sr. Unsec.</v>
      </c>
      <c r="E199">
        <f>regression!E199</f>
        <v>0.57622066753804679</v>
      </c>
      <c r="F199">
        <f>regression!F199</f>
        <v>0.2047471978316206</v>
      </c>
      <c r="G199">
        <f>regression!G199</f>
        <v>0.53820000000000001</v>
      </c>
      <c r="H199">
        <f>regression!H199</f>
        <v>1.1639999999999999</v>
      </c>
      <c r="I199">
        <f t="shared" si="9"/>
        <v>-0.34033290344060979</v>
      </c>
      <c r="J199">
        <f t="shared" si="7"/>
        <v>0.52239451952167104</v>
      </c>
      <c r="K199">
        <f t="shared" si="8"/>
        <v>0.42039271379110699</v>
      </c>
    </row>
    <row r="200" spans="1:11" x14ac:dyDescent="0.25">
      <c r="A200">
        <f>regression!A200</f>
        <v>2009</v>
      </c>
      <c r="B200">
        <f>regression!B200</f>
        <v>305</v>
      </c>
      <c r="C200" t="str">
        <f>regression!C200</f>
        <v>Retail</v>
      </c>
      <c r="D200" t="str">
        <f>regression!D200</f>
        <v>Sr. Unsec.</v>
      </c>
      <c r="E200">
        <f>regression!E200</f>
        <v>0.80966870975494387</v>
      </c>
      <c r="F200">
        <f>regression!F200</f>
        <v>0.94059006806503898</v>
      </c>
      <c r="G200">
        <f>regression!G200</f>
        <v>0.53820000000000001</v>
      </c>
      <c r="H200">
        <f>regression!H200</f>
        <v>2.2469999999999999</v>
      </c>
      <c r="I200">
        <f t="shared" si="9"/>
        <v>0.26386328582515606</v>
      </c>
      <c r="J200">
        <f t="shared" si="7"/>
        <v>0.7576321180707859</v>
      </c>
      <c r="K200">
        <f t="shared" si="8"/>
        <v>0.59926829699197504</v>
      </c>
    </row>
    <row r="201" spans="1:11" x14ac:dyDescent="0.25">
      <c r="A201">
        <f>regression!A201</f>
        <v>2009</v>
      </c>
      <c r="B201">
        <f>regression!B201</f>
        <v>306</v>
      </c>
      <c r="C201" t="str">
        <f>regression!C201</f>
        <v>Tech</v>
      </c>
      <c r="D201" t="str">
        <f>regression!D201</f>
        <v>Sr. Unsec.</v>
      </c>
      <c r="E201">
        <f>regression!E201</f>
        <v>0.71152721018373977</v>
      </c>
      <c r="F201">
        <f>regression!F201</f>
        <v>0.29514580812399216</v>
      </c>
      <c r="G201">
        <f>regression!G201</f>
        <v>0.53820000000000001</v>
      </c>
      <c r="H201">
        <f>regression!H201</f>
        <v>1.1639999999999999</v>
      </c>
      <c r="I201">
        <f t="shared" si="9"/>
        <v>-1.5486202890044962E-2</v>
      </c>
      <c r="J201">
        <f t="shared" si="7"/>
        <v>0.55129355878342157</v>
      </c>
      <c r="K201">
        <f t="shared" si="8"/>
        <v>0.43735827738971889</v>
      </c>
    </row>
    <row r="202" spans="1:11" x14ac:dyDescent="0.25">
      <c r="A202">
        <f>regression!A202</f>
        <v>2009</v>
      </c>
      <c r="B202">
        <f>regression!B202</f>
        <v>307</v>
      </c>
      <c r="C202" t="str">
        <f>regression!C202</f>
        <v>Transp</v>
      </c>
      <c r="D202" t="str">
        <f>regression!D202</f>
        <v>Sr. Sec.</v>
      </c>
      <c r="E202">
        <f>regression!E202</f>
        <v>0.01</v>
      </c>
      <c r="F202">
        <f>regression!F202</f>
        <v>0.47996737861227023</v>
      </c>
      <c r="G202">
        <f>regression!G202</f>
        <v>0.36450000000000005</v>
      </c>
      <c r="H202">
        <f>regression!H202</f>
        <v>2.9630000000000001</v>
      </c>
      <c r="I202">
        <f t="shared" si="9"/>
        <v>-2.7254375962162003</v>
      </c>
      <c r="J202">
        <f t="shared" si="7"/>
        <v>0.61037815980421706</v>
      </c>
      <c r="K202">
        <f t="shared" si="8"/>
        <v>0.18229777719175108</v>
      </c>
    </row>
    <row r="203" spans="1:11" x14ac:dyDescent="0.25">
      <c r="A203">
        <f>regression!A203</f>
        <v>2009</v>
      </c>
      <c r="B203">
        <f>regression!B203</f>
        <v>307</v>
      </c>
      <c r="C203" t="str">
        <f>regression!C203</f>
        <v>Transp</v>
      </c>
      <c r="D203" t="str">
        <f>regression!D203</f>
        <v>Sr. Unsec.</v>
      </c>
      <c r="E203">
        <f>regression!E203</f>
        <v>0.51446560047328482</v>
      </c>
      <c r="F203">
        <f>regression!F203</f>
        <v>0.47996737861227023</v>
      </c>
      <c r="G203">
        <f>regression!G203</f>
        <v>0.53820000000000001</v>
      </c>
      <c r="H203">
        <f>regression!H203</f>
        <v>2.9630000000000001</v>
      </c>
      <c r="I203">
        <f t="shared" si="9"/>
        <v>-0.48044979823786582</v>
      </c>
      <c r="J203">
        <f t="shared" si="7"/>
        <v>0.61037815980421706</v>
      </c>
      <c r="K203">
        <f t="shared" si="8"/>
        <v>0.53688954755227469</v>
      </c>
    </row>
    <row r="204" spans="1:11" x14ac:dyDescent="0.25">
      <c r="A204">
        <f>regression!A204</f>
        <v>2009</v>
      </c>
      <c r="B204">
        <f>regression!B204</f>
        <v>307</v>
      </c>
      <c r="C204" t="str">
        <f>regression!C204</f>
        <v>Transp</v>
      </c>
      <c r="D204" t="str">
        <f>regression!D204</f>
        <v>Sr. Sub.</v>
      </c>
      <c r="E204">
        <f>regression!E204</f>
        <v>0.47262039163470271</v>
      </c>
      <c r="F204">
        <f>regression!F204</f>
        <v>0.47996737861227023</v>
      </c>
      <c r="G204">
        <f>regression!G204</f>
        <v>0.70330000000000004</v>
      </c>
      <c r="H204">
        <f>regression!H204</f>
        <v>2.9630000000000001</v>
      </c>
      <c r="I204">
        <f t="shared" si="9"/>
        <v>-0.57527472233977939</v>
      </c>
      <c r="J204">
        <f t="shared" si="7"/>
        <v>0.61037815980421706</v>
      </c>
      <c r="K204">
        <f t="shared" si="8"/>
        <v>0.86082395817149748</v>
      </c>
    </row>
    <row r="205" spans="1:11" x14ac:dyDescent="0.25">
      <c r="A205">
        <f>regression!A205</f>
        <v>2009</v>
      </c>
      <c r="B205">
        <f>regression!B205</f>
        <v>308</v>
      </c>
      <c r="C205" t="str">
        <f>regression!C205</f>
        <v>Retail</v>
      </c>
      <c r="D205" t="str">
        <f>regression!D205</f>
        <v>Sr. Unsec.</v>
      </c>
      <c r="E205">
        <f>regression!E205</f>
        <v>0.81954076848268509</v>
      </c>
      <c r="F205">
        <f>regression!F205</f>
        <v>0.80250842045017323</v>
      </c>
      <c r="G205">
        <f>regression!G205</f>
        <v>0.53820000000000001</v>
      </c>
      <c r="H205">
        <f>regression!H205</f>
        <v>2.2469999999999999</v>
      </c>
      <c r="I205">
        <f t="shared" si="9"/>
        <v>0.29600541995974028</v>
      </c>
      <c r="J205">
        <f t="shared" si="7"/>
        <v>0.7134895483692919</v>
      </c>
      <c r="K205">
        <f t="shared" si="8"/>
        <v>0.57310336989716004</v>
      </c>
    </row>
    <row r="206" spans="1:11" x14ac:dyDescent="0.25">
      <c r="A206">
        <f>regression!A206</f>
        <v>2009</v>
      </c>
      <c r="B206">
        <f>regression!B206</f>
        <v>310</v>
      </c>
      <c r="C206" t="str">
        <f>regression!C206</f>
        <v>Transp</v>
      </c>
      <c r="D206" t="str">
        <f>regression!D206</f>
        <v>Sr. Sub.</v>
      </c>
      <c r="E206">
        <f>regression!E206</f>
        <v>0.99</v>
      </c>
      <c r="F206">
        <f>regression!F206</f>
        <v>0.86228138746082417</v>
      </c>
      <c r="G206">
        <f>regression!G206</f>
        <v>0.70330000000000004</v>
      </c>
      <c r="H206">
        <f>regression!H206</f>
        <v>2.9630000000000001</v>
      </c>
      <c r="I206">
        <f t="shared" si="9"/>
        <v>1.4954060676963419</v>
      </c>
      <c r="J206">
        <f t="shared" si="7"/>
        <v>0.73259804256898531</v>
      </c>
      <c r="K206">
        <f t="shared" si="8"/>
        <v>0.89923999760943618</v>
      </c>
    </row>
    <row r="207" spans="1:11" x14ac:dyDescent="0.25">
      <c r="A207">
        <f>regression!A207</f>
        <v>2009</v>
      </c>
      <c r="B207">
        <f>regression!B207</f>
        <v>311</v>
      </c>
      <c r="C207" t="str">
        <f>regression!C207</f>
        <v>Media</v>
      </c>
      <c r="D207" t="str">
        <f>regression!D207</f>
        <v>Sr. Unsec.</v>
      </c>
      <c r="E207">
        <f>regression!E207</f>
        <v>0.24217982484698297</v>
      </c>
      <c r="F207">
        <f>regression!F207</f>
        <v>0.48300381772266715</v>
      </c>
      <c r="G207">
        <f>regression!G207</f>
        <v>0.53820000000000001</v>
      </c>
      <c r="H207">
        <f>regression!H207</f>
        <v>4.1470000000000002</v>
      </c>
      <c r="I207">
        <f t="shared" si="9"/>
        <v>-1.154544392221021</v>
      </c>
      <c r="J207">
        <f t="shared" si="7"/>
        <v>0.61134886248187403</v>
      </c>
      <c r="K207">
        <f t="shared" si="8"/>
        <v>0.57968565578414544</v>
      </c>
    </row>
    <row r="208" spans="1:11" x14ac:dyDescent="0.25">
      <c r="A208">
        <f>regression!A208</f>
        <v>2009</v>
      </c>
      <c r="B208">
        <f>regression!B208</f>
        <v>314</v>
      </c>
      <c r="C208" t="str">
        <f>regression!C208</f>
        <v>Tech</v>
      </c>
      <c r="D208" t="str">
        <f>regression!D208</f>
        <v>Sr. Unsec.</v>
      </c>
      <c r="E208">
        <f>regression!E208</f>
        <v>0.63734660701751711</v>
      </c>
      <c r="F208">
        <f>regression!F208</f>
        <v>0.18741281127308812</v>
      </c>
      <c r="G208">
        <f>regression!G208</f>
        <v>0.53820000000000001</v>
      </c>
      <c r="H208">
        <f>regression!H208</f>
        <v>1.1639999999999999</v>
      </c>
      <c r="I208">
        <f t="shared" si="9"/>
        <v>-0.19832672378886543</v>
      </c>
      <c r="J208">
        <f t="shared" si="7"/>
        <v>0.51685298391494872</v>
      </c>
      <c r="K208">
        <f t="shared" si="8"/>
        <v>0.41715902911638808</v>
      </c>
    </row>
    <row r="209" spans="1:11" x14ac:dyDescent="0.25">
      <c r="A209">
        <f>regression!A209</f>
        <v>2009</v>
      </c>
      <c r="B209">
        <f>regression!B209</f>
        <v>315</v>
      </c>
      <c r="C209" t="str">
        <f>regression!C209</f>
        <v>Transp</v>
      </c>
      <c r="D209" t="str">
        <f>regression!D209</f>
        <v>Sr. Sec.</v>
      </c>
      <c r="E209">
        <f>regression!E209</f>
        <v>0.92386953196525567</v>
      </c>
      <c r="F209">
        <f>regression!F209</f>
        <v>0.25884951558448405</v>
      </c>
      <c r="G209">
        <f>regression!G209</f>
        <v>0.36450000000000005</v>
      </c>
      <c r="H209">
        <f>regression!H209</f>
        <v>2.9630000000000001</v>
      </c>
      <c r="I209">
        <f t="shared" si="9"/>
        <v>0.74213093617662496</v>
      </c>
      <c r="J209">
        <f t="shared" si="7"/>
        <v>0.53969019475201963</v>
      </c>
      <c r="K209">
        <f t="shared" si="8"/>
        <v>0.15656551308913538</v>
      </c>
    </row>
    <row r="210" spans="1:11" x14ac:dyDescent="0.25">
      <c r="A210">
        <f>regression!A210</f>
        <v>2009</v>
      </c>
      <c r="B210">
        <f>regression!B210</f>
        <v>316</v>
      </c>
      <c r="C210" t="str">
        <f>regression!C210</f>
        <v>Retail</v>
      </c>
      <c r="D210" t="str">
        <f>regression!D210</f>
        <v>Sr. Unsec.</v>
      </c>
      <c r="E210">
        <f>regression!E210</f>
        <v>0.98082435829639436</v>
      </c>
      <c r="F210">
        <f>regression!F210</f>
        <v>0.66178434072201453</v>
      </c>
      <c r="G210">
        <f>regression!G210</f>
        <v>0.53820000000000001</v>
      </c>
      <c r="H210">
        <f>regression!H210</f>
        <v>2.2469999999999999</v>
      </c>
      <c r="I210">
        <f t="shared" si="9"/>
        <v>1.2824499526442463</v>
      </c>
      <c r="J210">
        <f t="shared" si="7"/>
        <v>0.66850223394062125</v>
      </c>
      <c r="K210">
        <f t="shared" si="8"/>
        <v>0.54618206744918429</v>
      </c>
    </row>
    <row r="211" spans="1:11" x14ac:dyDescent="0.25">
      <c r="A211">
        <f>regression!A211</f>
        <v>2009</v>
      </c>
      <c r="B211">
        <f>regression!B211</f>
        <v>317</v>
      </c>
      <c r="C211" t="str">
        <f>regression!C211</f>
        <v>Media</v>
      </c>
      <c r="D211" t="str">
        <f>regression!D211</f>
        <v>Sr. Unsec.</v>
      </c>
      <c r="E211">
        <f>regression!E211</f>
        <v>0.76209787383675576</v>
      </c>
      <c r="F211">
        <f>regression!F211</f>
        <v>0.37028683989403055</v>
      </c>
      <c r="G211">
        <f>regression!G211</f>
        <v>0.53820000000000001</v>
      </c>
      <c r="H211">
        <f>regression!H211</f>
        <v>4.1470000000000002</v>
      </c>
      <c r="I211">
        <f t="shared" si="9"/>
        <v>0.12095144536633133</v>
      </c>
      <c r="J211">
        <f t="shared" si="7"/>
        <v>0.57531498588575869</v>
      </c>
      <c r="K211">
        <f t="shared" si="8"/>
        <v>0.55818112378240214</v>
      </c>
    </row>
    <row r="212" spans="1:11" x14ac:dyDescent="0.25">
      <c r="A212">
        <f>regression!A212</f>
        <v>2009</v>
      </c>
      <c r="B212">
        <f>regression!B212</f>
        <v>318</v>
      </c>
      <c r="C212" t="str">
        <f>regression!C212</f>
        <v>Retail</v>
      </c>
      <c r="D212" t="str">
        <f>regression!D212</f>
        <v>Sr. Sub.</v>
      </c>
      <c r="E212">
        <f>regression!E212</f>
        <v>0.65374733021259313</v>
      </c>
      <c r="F212">
        <f>regression!F212</f>
        <v>0.7742218751608978</v>
      </c>
      <c r="G212">
        <f>regression!G212</f>
        <v>0.70330000000000004</v>
      </c>
      <c r="H212">
        <f>regression!H212</f>
        <v>2.2469999999999999</v>
      </c>
      <c r="I212">
        <f t="shared" si="9"/>
        <v>-0.15915935104319034</v>
      </c>
      <c r="J212">
        <f t="shared" si="7"/>
        <v>0.70444677680178425</v>
      </c>
      <c r="K212">
        <f t="shared" si="8"/>
        <v>0.87801780065119139</v>
      </c>
    </row>
    <row r="213" spans="1:11" x14ac:dyDescent="0.25">
      <c r="A213">
        <f>regression!A213</f>
        <v>2009</v>
      </c>
      <c r="B213">
        <f>regression!B213</f>
        <v>319</v>
      </c>
      <c r="C213" t="str">
        <f>regression!C213</f>
        <v>Tech</v>
      </c>
      <c r="D213" t="str">
        <f>regression!D213</f>
        <v>Sr. Sec.</v>
      </c>
      <c r="E213">
        <f>regression!E213</f>
        <v>0.57599219883203512</v>
      </c>
      <c r="F213">
        <f>regression!F213</f>
        <v>0.64298343381969369</v>
      </c>
      <c r="G213">
        <f>regression!G213</f>
        <v>0.36450000000000005</v>
      </c>
      <c r="H213">
        <f>regression!H213</f>
        <v>1.1639999999999999</v>
      </c>
      <c r="I213">
        <f t="shared" si="9"/>
        <v>-0.34085520145390452</v>
      </c>
      <c r="J213">
        <f t="shared" si="7"/>
        <v>0.66249187443432545</v>
      </c>
      <c r="K213">
        <f t="shared" si="8"/>
        <v>0.16202537527622859</v>
      </c>
    </row>
    <row r="214" spans="1:11" x14ac:dyDescent="0.25">
      <c r="A214">
        <f>regression!A214</f>
        <v>2009</v>
      </c>
      <c r="B214">
        <f>regression!B214</f>
        <v>319</v>
      </c>
      <c r="C214" t="str">
        <f>regression!C214</f>
        <v>Tech</v>
      </c>
      <c r="D214" t="str">
        <f>regression!D214</f>
        <v>Sr. Unsec.</v>
      </c>
      <c r="E214">
        <f>regression!E214</f>
        <v>0.73792662335932258</v>
      </c>
      <c r="F214">
        <f>regression!F214</f>
        <v>0.64298343381969369</v>
      </c>
      <c r="G214">
        <f>regression!G214</f>
        <v>0.53820000000000001</v>
      </c>
      <c r="H214">
        <f>regression!H214</f>
        <v>1.1639999999999999</v>
      </c>
      <c r="I214">
        <f t="shared" si="9"/>
        <v>5.4163416551009549E-2</v>
      </c>
      <c r="J214">
        <f t="shared" si="7"/>
        <v>0.66249187443432545</v>
      </c>
      <c r="K214">
        <f t="shared" si="8"/>
        <v>0.50375206984704868</v>
      </c>
    </row>
    <row r="215" spans="1:11" x14ac:dyDescent="0.25">
      <c r="A215">
        <f>regression!A215</f>
        <v>2009</v>
      </c>
      <c r="B215">
        <f>regression!B215</f>
        <v>320</v>
      </c>
      <c r="C215" t="str">
        <f>regression!C215</f>
        <v>Transp</v>
      </c>
      <c r="D215" t="str">
        <f>regression!D215</f>
        <v>Sub.</v>
      </c>
      <c r="E215">
        <f>regression!E215</f>
        <v>0.97807546726405625</v>
      </c>
      <c r="F215">
        <f>regression!F215</f>
        <v>0.7053049625318708</v>
      </c>
      <c r="G215">
        <f>regression!G215</f>
        <v>0.71150000000000002</v>
      </c>
      <c r="H215">
        <f>regression!H215</f>
        <v>2.9630000000000001</v>
      </c>
      <c r="I215">
        <f t="shared" si="9"/>
        <v>1.2359179591779113</v>
      </c>
      <c r="J215">
        <f t="shared" si="7"/>
        <v>0.68241510444063347</v>
      </c>
      <c r="K215">
        <f t="shared" si="8"/>
        <v>0.89402216541594004</v>
      </c>
    </row>
    <row r="216" spans="1:11" x14ac:dyDescent="0.25">
      <c r="A216">
        <f>regression!A216</f>
        <v>2009</v>
      </c>
      <c r="B216">
        <f>regression!B216</f>
        <v>321</v>
      </c>
      <c r="C216" t="str">
        <f>regression!C216</f>
        <v>Retail</v>
      </c>
      <c r="D216" t="str">
        <f>regression!D216</f>
        <v>Sr. Sub.</v>
      </c>
      <c r="E216">
        <f>regression!E216</f>
        <v>0.55677303921699517</v>
      </c>
      <c r="F216">
        <f>regression!F216</f>
        <v>0.34462043328749981</v>
      </c>
      <c r="G216">
        <f>regression!G216</f>
        <v>0.70330000000000004</v>
      </c>
      <c r="H216">
        <f>regression!H216</f>
        <v>2.2469999999999999</v>
      </c>
      <c r="I216">
        <f t="shared" si="9"/>
        <v>-0.38464788775204356</v>
      </c>
      <c r="J216">
        <f t="shared" si="7"/>
        <v>0.56710983218006317</v>
      </c>
      <c r="K216">
        <f t="shared" si="8"/>
        <v>0.82869210382562697</v>
      </c>
    </row>
    <row r="217" spans="1:11" x14ac:dyDescent="0.25">
      <c r="A217">
        <f>regression!A217</f>
        <v>2009</v>
      </c>
      <c r="B217">
        <f>regression!B217</f>
        <v>322</v>
      </c>
      <c r="C217" t="str">
        <f>regression!C217</f>
        <v>Cons G</v>
      </c>
      <c r="D217" t="str">
        <f>regression!D217</f>
        <v>Sr. Unsec.</v>
      </c>
      <c r="E217">
        <f>regression!E217</f>
        <v>0.30142650561451911</v>
      </c>
      <c r="F217">
        <f>regression!F217</f>
        <v>0.73301858763614658</v>
      </c>
      <c r="G217">
        <f>regression!G217</f>
        <v>0.53820000000000001</v>
      </c>
      <c r="H217">
        <f>regression!H217</f>
        <v>3.7829999999999999</v>
      </c>
      <c r="I217">
        <f t="shared" si="9"/>
        <v>-0.98842467600092476</v>
      </c>
      <c r="J217">
        <f t="shared" si="7"/>
        <v>0.69127472227528386</v>
      </c>
      <c r="K217">
        <f t="shared" si="8"/>
        <v>0.61402233352652669</v>
      </c>
    </row>
    <row r="218" spans="1:11" x14ac:dyDescent="0.25">
      <c r="A218">
        <f>regression!A218</f>
        <v>2009</v>
      </c>
      <c r="B218">
        <f>regression!B218</f>
        <v>323</v>
      </c>
      <c r="C218" t="str">
        <f>regression!C218</f>
        <v>Cons G</v>
      </c>
      <c r="D218" t="str">
        <f>regression!D218</f>
        <v>Sr. Unsec.</v>
      </c>
      <c r="E218">
        <f>regression!E218</f>
        <v>0.74240603610873213</v>
      </c>
      <c r="F218">
        <f>regression!F218</f>
        <v>0.83392665242960817</v>
      </c>
      <c r="G218">
        <f>regression!G218</f>
        <v>0.53820000000000001</v>
      </c>
      <c r="H218">
        <f>regression!H218</f>
        <v>3.7829999999999999</v>
      </c>
      <c r="I218">
        <f t="shared" si="9"/>
        <v>6.6302504528368153E-2</v>
      </c>
      <c r="J218">
        <f t="shared" si="7"/>
        <v>0.72353347179435246</v>
      </c>
      <c r="K218">
        <f t="shared" si="8"/>
        <v>0.63273620577601897</v>
      </c>
    </row>
    <row r="219" spans="1:11" x14ac:dyDescent="0.25">
      <c r="A219">
        <f>regression!A219</f>
        <v>2009</v>
      </c>
      <c r="B219">
        <f>regression!B219</f>
        <v>323</v>
      </c>
      <c r="C219" t="str">
        <f>regression!C219</f>
        <v>Cons G</v>
      </c>
      <c r="D219" t="str">
        <f>regression!D219</f>
        <v>Sr. Sub.</v>
      </c>
      <c r="E219">
        <f>regression!E219</f>
        <v>0.77017602262496954</v>
      </c>
      <c r="F219">
        <f>regression!F219</f>
        <v>0.83392665242960817</v>
      </c>
      <c r="G219">
        <f>regression!G219</f>
        <v>0.70330000000000004</v>
      </c>
      <c r="H219">
        <f>regression!H219</f>
        <v>3.7829999999999999</v>
      </c>
      <c r="I219">
        <f t="shared" si="9"/>
        <v>0.14403831472724857</v>
      </c>
      <c r="J219">
        <f t="shared" si="7"/>
        <v>0.72353347179435246</v>
      </c>
      <c r="K219">
        <f t="shared" si="8"/>
        <v>0.90994531964510972</v>
      </c>
    </row>
    <row r="220" spans="1:11" x14ac:dyDescent="0.25">
      <c r="A220">
        <f>regression!A220</f>
        <v>2009</v>
      </c>
      <c r="B220">
        <f>regression!B220</f>
        <v>324</v>
      </c>
      <c r="C220" t="str">
        <f>regression!C220</f>
        <v>Media</v>
      </c>
      <c r="D220" t="str">
        <f>regression!D220</f>
        <v>Sr. Unsec.</v>
      </c>
      <c r="E220">
        <f>regression!E220</f>
        <v>0.83238860327005382</v>
      </c>
      <c r="F220">
        <f>regression!F220</f>
        <v>0.82235294946736481</v>
      </c>
      <c r="G220">
        <f>regression!G220</f>
        <v>0.53820000000000001</v>
      </c>
      <c r="H220">
        <f>regression!H220</f>
        <v>4.1470000000000002</v>
      </c>
      <c r="I220">
        <f t="shared" si="9"/>
        <v>0.33946590060727788</v>
      </c>
      <c r="J220">
        <f t="shared" si="7"/>
        <v>0.71983353774417236</v>
      </c>
      <c r="K220">
        <f t="shared" si="8"/>
        <v>0.64305494032588784</v>
      </c>
    </row>
    <row r="221" spans="1:11" x14ac:dyDescent="0.25">
      <c r="A221">
        <f>regression!A221</f>
        <v>2009</v>
      </c>
      <c r="B221">
        <f>regression!B221</f>
        <v>325</v>
      </c>
      <c r="C221" t="str">
        <f>regression!C221</f>
        <v>Cap Ind</v>
      </c>
      <c r="D221" t="str">
        <f>regression!D221</f>
        <v>Sr. Unsec.</v>
      </c>
      <c r="E221">
        <f>regression!E221</f>
        <v>0.77813888953208921</v>
      </c>
      <c r="F221">
        <f>regression!F221</f>
        <v>0.85013264541030864</v>
      </c>
      <c r="G221">
        <f>regression!G221</f>
        <v>0.53820000000000001</v>
      </c>
      <c r="H221">
        <f>regression!H221</f>
        <v>3.0710000000000002</v>
      </c>
      <c r="I221">
        <f t="shared" si="9"/>
        <v>0.16722064910446677</v>
      </c>
      <c r="J221">
        <f t="shared" si="7"/>
        <v>0.72871427740530381</v>
      </c>
      <c r="K221">
        <f t="shared" si="8"/>
        <v>0.61111177959492358</v>
      </c>
    </row>
    <row r="222" spans="1:11" x14ac:dyDescent="0.25">
      <c r="A222">
        <f>regression!A222</f>
        <v>2009</v>
      </c>
      <c r="B222">
        <f>regression!B222</f>
        <v>325</v>
      </c>
      <c r="C222" t="str">
        <f>regression!C222</f>
        <v>Cap Ind</v>
      </c>
      <c r="D222" t="str">
        <f>regression!D222</f>
        <v>Sr. Sub.</v>
      </c>
      <c r="E222">
        <f>regression!E222</f>
        <v>0.52634980507194995</v>
      </c>
      <c r="F222">
        <f>regression!F222</f>
        <v>0.85013264541030864</v>
      </c>
      <c r="G222">
        <f>regression!G222</f>
        <v>0.70330000000000004</v>
      </c>
      <c r="H222">
        <f>regression!H222</f>
        <v>3.0710000000000002</v>
      </c>
      <c r="I222">
        <f t="shared" si="9"/>
        <v>-0.4535782872840684</v>
      </c>
      <c r="J222">
        <f t="shared" si="7"/>
        <v>0.72871427740530381</v>
      </c>
      <c r="K222">
        <f t="shared" si="8"/>
        <v>0.89995220243501539</v>
      </c>
    </row>
    <row r="223" spans="1:11" x14ac:dyDescent="0.25">
      <c r="A223">
        <f>regression!A223</f>
        <v>2009</v>
      </c>
      <c r="B223">
        <f>regression!B223</f>
        <v>326</v>
      </c>
      <c r="C223" t="str">
        <f>regression!C223</f>
        <v>Media</v>
      </c>
      <c r="D223" t="str">
        <f>regression!D223</f>
        <v>Sr. Unsec.</v>
      </c>
      <c r="E223">
        <f>regression!E223</f>
        <v>0.93534980479478835</v>
      </c>
      <c r="F223">
        <f>regression!F223</f>
        <v>0.37049516497315171</v>
      </c>
      <c r="G223">
        <f>regression!G223</f>
        <v>0.53820000000000001</v>
      </c>
      <c r="H223">
        <f>regression!H223</f>
        <v>4.1470000000000002</v>
      </c>
      <c r="I223">
        <f t="shared" si="9"/>
        <v>0.81480699979353222</v>
      </c>
      <c r="J223">
        <f t="shared" si="7"/>
        <v>0.57538158419541485</v>
      </c>
      <c r="K223">
        <f t="shared" si="8"/>
        <v>0.55822100083562476</v>
      </c>
    </row>
    <row r="224" spans="1:11" x14ac:dyDescent="0.25">
      <c r="A224">
        <f>regression!A224</f>
        <v>2009</v>
      </c>
      <c r="B224">
        <f>regression!B224</f>
        <v>328</v>
      </c>
      <c r="C224" t="str">
        <f>regression!C224</f>
        <v>Retail</v>
      </c>
      <c r="D224" t="str">
        <f>regression!D224</f>
        <v>Sr. Unsec.</v>
      </c>
      <c r="E224">
        <f>regression!E224</f>
        <v>0.18601185321807867</v>
      </c>
      <c r="F224">
        <f>regression!F224</f>
        <v>0.82519259404353207</v>
      </c>
      <c r="G224">
        <f>regression!G224</f>
        <v>0.53820000000000001</v>
      </c>
      <c r="H224">
        <f>regression!H224</f>
        <v>2.2469999999999999</v>
      </c>
      <c r="I224">
        <f t="shared" si="9"/>
        <v>-1.3355433192928454</v>
      </c>
      <c r="J224">
        <f t="shared" ref="J224:J287" si="10">oostrend(E$2:E$318,F$2:F$318,F224:H224,A$2:A$318,A224)</f>
        <v>0.72074132824925496</v>
      </c>
      <c r="K224">
        <f t="shared" ref="K224:K287" si="11">BETAINV(NORMSDIST(oostrend(I$2:I$318,F$2:H$318,F224:H224,A$2:A$318,A224)),N$14,N$15)</f>
        <v>0.57742199855136311</v>
      </c>
    </row>
    <row r="225" spans="1:11" x14ac:dyDescent="0.25">
      <c r="A225">
        <f>regression!A225</f>
        <v>2009</v>
      </c>
      <c r="B225">
        <f>regression!B225</f>
        <v>329</v>
      </c>
      <c r="C225" t="str">
        <f>regression!C225</f>
        <v>Tech</v>
      </c>
      <c r="D225" t="str">
        <f>regression!D225</f>
        <v>Sr. Unsec.</v>
      </c>
      <c r="E225">
        <f>regression!E225</f>
        <v>0.74814656003415592</v>
      </c>
      <c r="F225">
        <f>regression!F225</f>
        <v>0.7706749225844941</v>
      </c>
      <c r="G225">
        <f>regression!G225</f>
        <v>0.53820000000000001</v>
      </c>
      <c r="H225">
        <f>regression!H225</f>
        <v>1.1639999999999999</v>
      </c>
      <c r="I225">
        <f t="shared" si="9"/>
        <v>8.2010809101081883E-2</v>
      </c>
      <c r="J225">
        <f t="shared" si="10"/>
        <v>0.70331287085529315</v>
      </c>
      <c r="K225">
        <f t="shared" si="11"/>
        <v>0.52832037354210459</v>
      </c>
    </row>
    <row r="226" spans="1:11" x14ac:dyDescent="0.25">
      <c r="A226">
        <f>regression!A226</f>
        <v>2009</v>
      </c>
      <c r="B226">
        <f>regression!B226</f>
        <v>333</v>
      </c>
      <c r="C226" t="str">
        <f>regression!C226</f>
        <v>Media</v>
      </c>
      <c r="D226" t="str">
        <f>regression!D226</f>
        <v>Sr. Unsec.</v>
      </c>
      <c r="E226">
        <f>regression!E226</f>
        <v>0.65532750606119627</v>
      </c>
      <c r="F226">
        <f>regression!F226</f>
        <v>0.41413523854731749</v>
      </c>
      <c r="G226">
        <f>regression!G226</f>
        <v>0.53820000000000001</v>
      </c>
      <c r="H226">
        <f>regression!H226</f>
        <v>4.1470000000000002</v>
      </c>
      <c r="I226">
        <f t="shared" si="9"/>
        <v>-0.15535441775434328</v>
      </c>
      <c r="J226">
        <f t="shared" si="10"/>
        <v>0.58933264157922416</v>
      </c>
      <c r="K226">
        <f t="shared" si="11"/>
        <v>0.566564672840845</v>
      </c>
    </row>
    <row r="227" spans="1:11" x14ac:dyDescent="0.25">
      <c r="A227">
        <f>regression!A227</f>
        <v>2009</v>
      </c>
      <c r="B227">
        <f>regression!B227</f>
        <v>333</v>
      </c>
      <c r="C227" t="str">
        <f>regression!C227</f>
        <v>Media</v>
      </c>
      <c r="D227" t="str">
        <f>regression!D227</f>
        <v>Sr. Sub.</v>
      </c>
      <c r="E227">
        <f>regression!E227</f>
        <v>0.90599404713869092</v>
      </c>
      <c r="F227">
        <f>regression!F227</f>
        <v>0.41413523854731749</v>
      </c>
      <c r="G227">
        <f>regression!G227</f>
        <v>0.70330000000000004</v>
      </c>
      <c r="H227">
        <f>regression!H227</f>
        <v>4.1470000000000002</v>
      </c>
      <c r="I227">
        <f t="shared" si="9"/>
        <v>0.64369854289261408</v>
      </c>
      <c r="J227">
        <f t="shared" si="10"/>
        <v>0.58933264157922416</v>
      </c>
      <c r="K227">
        <f t="shared" si="11"/>
        <v>0.87740425833920621</v>
      </c>
    </row>
    <row r="228" spans="1:11" x14ac:dyDescent="0.25">
      <c r="A228">
        <f>regression!A228</f>
        <v>2009</v>
      </c>
      <c r="B228">
        <f>regression!B228</f>
        <v>334</v>
      </c>
      <c r="C228" t="str">
        <f>regression!C228</f>
        <v>Retail</v>
      </c>
      <c r="D228" t="str">
        <f>regression!D228</f>
        <v>Sr. Unsec.</v>
      </c>
      <c r="E228">
        <f>regression!E228</f>
        <v>0.895144922709465</v>
      </c>
      <c r="F228">
        <f>regression!F228</f>
        <v>0.59637096013749225</v>
      </c>
      <c r="G228">
        <f>regression!G228</f>
        <v>0.53820000000000001</v>
      </c>
      <c r="H228">
        <f>regression!H228</f>
        <v>2.2469999999999999</v>
      </c>
      <c r="I228">
        <f t="shared" si="9"/>
        <v>0.59041454875604638</v>
      </c>
      <c r="J228">
        <f t="shared" si="10"/>
        <v>0.64759058665266001</v>
      </c>
      <c r="K228">
        <f t="shared" si="11"/>
        <v>0.53361492671148947</v>
      </c>
    </row>
    <row r="229" spans="1:11" x14ac:dyDescent="0.25">
      <c r="A229">
        <f>regression!A229</f>
        <v>2009</v>
      </c>
      <c r="B229">
        <f>regression!B229</f>
        <v>336</v>
      </c>
      <c r="C229" t="str">
        <f>regression!C229</f>
        <v>Transp</v>
      </c>
      <c r="D229" t="str">
        <f>regression!D229</f>
        <v>Sr. Sec.</v>
      </c>
      <c r="E229">
        <f>regression!E229</f>
        <v>0.82873178800344471</v>
      </c>
      <c r="F229">
        <f>regression!F229</f>
        <v>0.65035028198044809</v>
      </c>
      <c r="G229">
        <f>regression!G229</f>
        <v>0.36450000000000005</v>
      </c>
      <c r="H229">
        <f>regression!H229</f>
        <v>2.9630000000000001</v>
      </c>
      <c r="I229">
        <f t="shared" si="9"/>
        <v>0.32689447930041871</v>
      </c>
      <c r="J229">
        <f t="shared" si="10"/>
        <v>0.66484694199061245</v>
      </c>
      <c r="K229">
        <f t="shared" si="11"/>
        <v>0.20392090938090696</v>
      </c>
    </row>
    <row r="230" spans="1:11" x14ac:dyDescent="0.25">
      <c r="A230">
        <f>regression!A230</f>
        <v>2009</v>
      </c>
      <c r="B230">
        <f>regression!B230</f>
        <v>337</v>
      </c>
      <c r="C230" t="str">
        <f>regression!C230</f>
        <v>Retail</v>
      </c>
      <c r="D230" t="str">
        <f>regression!D230</f>
        <v>Sr. Unsec.</v>
      </c>
      <c r="E230">
        <f>regression!E230</f>
        <v>0.54438598661661153</v>
      </c>
      <c r="F230">
        <f>regression!F230</f>
        <v>0.37308013093765113</v>
      </c>
      <c r="G230">
        <f>regression!G230</f>
        <v>0.53820000000000001</v>
      </c>
      <c r="H230">
        <f>regression!H230</f>
        <v>2.2469999999999999</v>
      </c>
      <c r="I230">
        <f t="shared" si="9"/>
        <v>-0.41275391182348808</v>
      </c>
      <c r="J230">
        <f t="shared" si="10"/>
        <v>0.57620795788254064</v>
      </c>
      <c r="K230">
        <f t="shared" si="11"/>
        <v>0.49067052580489218</v>
      </c>
    </row>
    <row r="231" spans="1:11" x14ac:dyDescent="0.25">
      <c r="A231">
        <f>regression!A231</f>
        <v>2009</v>
      </c>
      <c r="B231">
        <f>regression!B231</f>
        <v>338</v>
      </c>
      <c r="C231" t="str">
        <f>regression!C231</f>
        <v>Tech</v>
      </c>
      <c r="D231" t="str">
        <f>regression!D231</f>
        <v>Sr. Unsec.</v>
      </c>
      <c r="E231">
        <f>regression!E231</f>
        <v>0.78084052650332447</v>
      </c>
      <c r="F231">
        <f>regression!F231</f>
        <v>0.66224073162408104</v>
      </c>
      <c r="G231">
        <f>regression!G231</f>
        <v>0.53820000000000001</v>
      </c>
      <c r="H231">
        <f>regression!H231</f>
        <v>1.1639999999999999</v>
      </c>
      <c r="I231">
        <f t="shared" si="9"/>
        <v>0.17518765261276562</v>
      </c>
      <c r="J231">
        <f t="shared" si="10"/>
        <v>0.66864813506183174</v>
      </c>
      <c r="K231">
        <f t="shared" si="11"/>
        <v>0.50745620736733277</v>
      </c>
    </row>
    <row r="232" spans="1:11" x14ac:dyDescent="0.25">
      <c r="A232">
        <f>regression!A232</f>
        <v>2009</v>
      </c>
      <c r="B232">
        <f>regression!B232</f>
        <v>339</v>
      </c>
      <c r="C232" t="str">
        <f>regression!C232</f>
        <v>Transp</v>
      </c>
      <c r="D232" t="str">
        <f>regression!D232</f>
        <v>Sr. Sec.</v>
      </c>
      <c r="E232">
        <f>regression!E232</f>
        <v>0.61715316200256343</v>
      </c>
      <c r="F232">
        <f>regression!F232</f>
        <v>0.83175535466956585</v>
      </c>
      <c r="G232">
        <f>regression!G232</f>
        <v>0.36450000000000005</v>
      </c>
      <c r="H232">
        <f>regression!H232</f>
        <v>2.9630000000000001</v>
      </c>
      <c r="I232">
        <f t="shared" si="9"/>
        <v>-0.24583728799342167</v>
      </c>
      <c r="J232">
        <f t="shared" si="10"/>
        <v>0.72283934144197803</v>
      </c>
      <c r="K232">
        <f t="shared" si="11"/>
        <v>0.22864096858246058</v>
      </c>
    </row>
    <row r="233" spans="1:11" x14ac:dyDescent="0.25">
      <c r="A233">
        <f>regression!A233</f>
        <v>2009</v>
      </c>
      <c r="B233">
        <f>regression!B233</f>
        <v>340</v>
      </c>
      <c r="C233" t="str">
        <f>regression!C233</f>
        <v>Media</v>
      </c>
      <c r="D233" t="str">
        <f>regression!D233</f>
        <v>Sr. Unsec.</v>
      </c>
      <c r="E233">
        <f>regression!E233</f>
        <v>0.84987534433126455</v>
      </c>
      <c r="F233">
        <f>regression!F233</f>
        <v>0.79780068093659473</v>
      </c>
      <c r="G233">
        <f>regression!G233</f>
        <v>0.53820000000000001</v>
      </c>
      <c r="H233">
        <f>regression!H233</f>
        <v>4.1470000000000002</v>
      </c>
      <c r="I233">
        <f t="shared" si="9"/>
        <v>0.40208460579075495</v>
      </c>
      <c r="J233">
        <f t="shared" si="10"/>
        <v>0.71198455677045003</v>
      </c>
      <c r="K233">
        <f t="shared" si="11"/>
        <v>0.63856290996603271</v>
      </c>
    </row>
    <row r="234" spans="1:11" x14ac:dyDescent="0.25">
      <c r="A234">
        <f>regression!A234</f>
        <v>2009</v>
      </c>
      <c r="B234">
        <f>regression!B234</f>
        <v>340</v>
      </c>
      <c r="C234" t="str">
        <f>regression!C234</f>
        <v>Media</v>
      </c>
      <c r="D234" t="str">
        <f>regression!D234</f>
        <v>Sr. Sub.</v>
      </c>
      <c r="E234">
        <f>regression!E234</f>
        <v>0.86654142132997514</v>
      </c>
      <c r="F234">
        <f>regression!F234</f>
        <v>0.79780068093659473</v>
      </c>
      <c r="G234">
        <f>regression!G234</f>
        <v>0.70330000000000004</v>
      </c>
      <c r="H234">
        <f>regression!H234</f>
        <v>4.1470000000000002</v>
      </c>
      <c r="I234">
        <f t="shared" si="9"/>
        <v>0.46629601335251464</v>
      </c>
      <c r="J234">
        <f t="shared" si="10"/>
        <v>0.71198455677045003</v>
      </c>
      <c r="K234">
        <f t="shared" si="11"/>
        <v>0.91253610175000865</v>
      </c>
    </row>
    <row r="235" spans="1:11" x14ac:dyDescent="0.25">
      <c r="A235">
        <f>regression!A235</f>
        <v>2009</v>
      </c>
      <c r="B235">
        <f>regression!B235</f>
        <v>342</v>
      </c>
      <c r="C235" t="str">
        <f>regression!C235</f>
        <v>Retail</v>
      </c>
      <c r="D235" t="str">
        <f>regression!D235</f>
        <v>Sr. Unsec.</v>
      </c>
      <c r="E235">
        <f>regression!E235</f>
        <v>0.66017620335698135</v>
      </c>
      <c r="F235">
        <f>regression!F235</f>
        <v>0.20867876306453159</v>
      </c>
      <c r="G235">
        <f>regression!G235</f>
        <v>0.53820000000000001</v>
      </c>
      <c r="H235">
        <f>regression!H235</f>
        <v>2.2469999999999999</v>
      </c>
      <c r="I235">
        <f t="shared" si="9"/>
        <v>-0.1436422509544874</v>
      </c>
      <c r="J235">
        <f t="shared" si="10"/>
        <v>0.52365138019307467</v>
      </c>
      <c r="K235">
        <f t="shared" si="11"/>
        <v>0.45922210179537881</v>
      </c>
    </row>
    <row r="236" spans="1:11" x14ac:dyDescent="0.25">
      <c r="A236">
        <f>regression!A236</f>
        <v>2009</v>
      </c>
      <c r="B236">
        <f>regression!B236</f>
        <v>344</v>
      </c>
      <c r="C236" t="str">
        <f>regression!C236</f>
        <v>Transp</v>
      </c>
      <c r="D236" t="str">
        <f>regression!D236</f>
        <v>Sr. Sec.</v>
      </c>
      <c r="E236">
        <f>regression!E236</f>
        <v>0.96666427532434462</v>
      </c>
      <c r="F236">
        <f>regression!F236</f>
        <v>0.27842787804664387</v>
      </c>
      <c r="G236">
        <f>regression!G236</f>
        <v>0.36450000000000005</v>
      </c>
      <c r="H236">
        <f>regression!H236</f>
        <v>2.9630000000000001</v>
      </c>
      <c r="I236">
        <f t="shared" si="9"/>
        <v>1.0832496767621971</v>
      </c>
      <c r="J236">
        <f t="shared" si="10"/>
        <v>0.54594909479091203</v>
      </c>
      <c r="K236">
        <f t="shared" si="11"/>
        <v>0.15873778780143571</v>
      </c>
    </row>
    <row r="237" spans="1:11" x14ac:dyDescent="0.25">
      <c r="A237">
        <f>regression!A237</f>
        <v>2009</v>
      </c>
      <c r="B237">
        <f>regression!B237</f>
        <v>346</v>
      </c>
      <c r="C237" t="str">
        <f>regression!C237</f>
        <v>Media</v>
      </c>
      <c r="D237" t="str">
        <f>regression!D237</f>
        <v>Sr. Unsec.</v>
      </c>
      <c r="E237">
        <f>regression!E237</f>
        <v>0.99</v>
      </c>
      <c r="F237">
        <f>regression!F237</f>
        <v>0.88556872400827624</v>
      </c>
      <c r="G237">
        <f>regression!G237</f>
        <v>0.53820000000000001</v>
      </c>
      <c r="H237">
        <f>regression!H237</f>
        <v>4.1470000000000002</v>
      </c>
      <c r="I237">
        <f t="shared" si="9"/>
        <v>1.4954060676963419</v>
      </c>
      <c r="J237">
        <f t="shared" si="10"/>
        <v>0.74004264432790423</v>
      </c>
      <c r="K237">
        <f t="shared" si="11"/>
        <v>0.65453880686801502</v>
      </c>
    </row>
    <row r="238" spans="1:11" x14ac:dyDescent="0.25">
      <c r="A238">
        <f>regression!A238</f>
        <v>2009</v>
      </c>
      <c r="B238">
        <f>regression!B238</f>
        <v>347</v>
      </c>
      <c r="C238" t="str">
        <f>regression!C238</f>
        <v>Retail</v>
      </c>
      <c r="D238" t="str">
        <f>regression!D238</f>
        <v>Sr. Unsec.</v>
      </c>
      <c r="E238">
        <f>regression!E238</f>
        <v>0.80023651341199875</v>
      </c>
      <c r="F238">
        <f>regression!F238</f>
        <v>0.5286166011657677</v>
      </c>
      <c r="G238">
        <f>regression!G238</f>
        <v>0.53820000000000001</v>
      </c>
      <c r="H238">
        <f>regression!H238</f>
        <v>2.2469999999999999</v>
      </c>
      <c r="I238">
        <f t="shared" si="9"/>
        <v>0.23405629680732404</v>
      </c>
      <c r="J238">
        <f t="shared" si="10"/>
        <v>0.62593056473699293</v>
      </c>
      <c r="K238">
        <f t="shared" si="11"/>
        <v>0.52058104422028972</v>
      </c>
    </row>
    <row r="239" spans="1:11" x14ac:dyDescent="0.25">
      <c r="A239">
        <f>regression!A239</f>
        <v>2009</v>
      </c>
      <c r="B239">
        <f>regression!B239</f>
        <v>349</v>
      </c>
      <c r="C239" t="str">
        <f>regression!C239</f>
        <v>Transp</v>
      </c>
      <c r="D239" t="str">
        <f>regression!D239</f>
        <v>Sr. Unsec.</v>
      </c>
      <c r="E239">
        <f>regression!E239</f>
        <v>0.85680361959338192</v>
      </c>
      <c r="F239">
        <f>regression!F239</f>
        <v>0.85950272907484193</v>
      </c>
      <c r="G239">
        <f>regression!G239</f>
        <v>0.53820000000000001</v>
      </c>
      <c r="H239">
        <f>regression!H239</f>
        <v>2.9630000000000001</v>
      </c>
      <c r="I239">
        <f t="shared" si="9"/>
        <v>0.42818187753151205</v>
      </c>
      <c r="J239">
        <f t="shared" si="10"/>
        <v>0.7317097484068098</v>
      </c>
      <c r="K239">
        <f t="shared" si="11"/>
        <v>0.60909879350440388</v>
      </c>
    </row>
    <row r="240" spans="1:11" x14ac:dyDescent="0.25">
      <c r="A240">
        <f>regression!A240</f>
        <v>2009</v>
      </c>
      <c r="B240">
        <f>regression!B240</f>
        <v>351</v>
      </c>
      <c r="C240" t="str">
        <f>regression!C240</f>
        <v>Cons G</v>
      </c>
      <c r="D240" t="str">
        <f>regression!D240</f>
        <v>Sr. Unsec.</v>
      </c>
      <c r="E240">
        <f>regression!E240</f>
        <v>0.70307803926467893</v>
      </c>
      <c r="F240">
        <f>regression!F240</f>
        <v>0.15230984655413038</v>
      </c>
      <c r="G240">
        <f>regression!G240</f>
        <v>0.53820000000000001</v>
      </c>
      <c r="H240">
        <f>regression!H240</f>
        <v>3.7829999999999999</v>
      </c>
      <c r="I240">
        <f t="shared" si="9"/>
        <v>-3.7169137794448547E-2</v>
      </c>
      <c r="J240">
        <f t="shared" si="10"/>
        <v>0.50563110835363145</v>
      </c>
      <c r="K240">
        <f t="shared" si="11"/>
        <v>0.50325532193992506</v>
      </c>
    </row>
    <row r="241" spans="1:11" x14ac:dyDescent="0.25">
      <c r="A241">
        <f>regression!A241</f>
        <v>2009</v>
      </c>
      <c r="B241">
        <f>regression!B241</f>
        <v>352</v>
      </c>
      <c r="C241" t="str">
        <f>regression!C241</f>
        <v>Cons G</v>
      </c>
      <c r="D241" t="str">
        <f>regression!D241</f>
        <v>Sr. Unsec.</v>
      </c>
      <c r="E241">
        <f>regression!E241</f>
        <v>0.20905135177075873</v>
      </c>
      <c r="F241">
        <f>regression!F241</f>
        <v>0.65999015478624501</v>
      </c>
      <c r="G241">
        <f>regression!G241</f>
        <v>0.53820000000000001</v>
      </c>
      <c r="H241">
        <f>regression!H241</f>
        <v>3.7829999999999999</v>
      </c>
      <c r="I241">
        <f t="shared" si="9"/>
        <v>-1.2576877052828845</v>
      </c>
      <c r="J241">
        <f t="shared" si="10"/>
        <v>0.66792866041296428</v>
      </c>
      <c r="K241">
        <f t="shared" si="11"/>
        <v>0.60033325450442321</v>
      </c>
    </row>
    <row r="242" spans="1:11" x14ac:dyDescent="0.25">
      <c r="A242">
        <f>regression!A242</f>
        <v>2009</v>
      </c>
      <c r="B242">
        <f>regression!B242</f>
        <v>353</v>
      </c>
      <c r="C242" t="str">
        <f>regression!C242</f>
        <v>Media</v>
      </c>
      <c r="D242" t="str">
        <f>regression!D242</f>
        <v>Sr. Unsec.</v>
      </c>
      <c r="E242">
        <f>regression!E242</f>
        <v>0.53515243767738352</v>
      </c>
      <c r="F242">
        <f>regression!F242</f>
        <v>0.89</v>
      </c>
      <c r="G242">
        <f>regression!G242</f>
        <v>0.53820000000000001</v>
      </c>
      <c r="H242">
        <f>regression!H242</f>
        <v>4.1470000000000002</v>
      </c>
      <c r="I242">
        <f t="shared" si="9"/>
        <v>-0.43366423536890431</v>
      </c>
      <c r="J242">
        <f t="shared" si="10"/>
        <v>0.7414592548095289</v>
      </c>
      <c r="K242">
        <f t="shared" si="11"/>
        <v>0.65533918876779396</v>
      </c>
    </row>
    <row r="243" spans="1:11" x14ac:dyDescent="0.25">
      <c r="A243">
        <f>regression!A243</f>
        <v>2009</v>
      </c>
      <c r="B243">
        <f>regression!B243</f>
        <v>358</v>
      </c>
      <c r="C243" t="str">
        <f>regression!C243</f>
        <v>Retail</v>
      </c>
      <c r="D243" t="str">
        <f>regression!D243</f>
        <v>Sr. Unsec.</v>
      </c>
      <c r="E243">
        <f>regression!E243</f>
        <v>0.90810948919296264</v>
      </c>
      <c r="F243">
        <f>regression!F243</f>
        <v>0.26327661251760698</v>
      </c>
      <c r="G243">
        <f>regression!G243</f>
        <v>0.53820000000000001</v>
      </c>
      <c r="H243">
        <f>regression!H243</f>
        <v>2.2469999999999999</v>
      </c>
      <c r="I243">
        <f t="shared" si="9"/>
        <v>0.65459471698208382</v>
      </c>
      <c r="J243">
        <f t="shared" si="10"/>
        <v>0.54110546925316638</v>
      </c>
      <c r="K243">
        <f t="shared" si="11"/>
        <v>0.46963544255250689</v>
      </c>
    </row>
    <row r="244" spans="1:11" x14ac:dyDescent="0.25">
      <c r="A244">
        <f>regression!A244</f>
        <v>2009</v>
      </c>
      <c r="B244">
        <f>regression!B244</f>
        <v>359</v>
      </c>
      <c r="C244" t="str">
        <f>regression!C244</f>
        <v>Media</v>
      </c>
      <c r="D244" t="str">
        <f>regression!D244</f>
        <v>Sr. Unsec.</v>
      </c>
      <c r="E244">
        <f>regression!E244</f>
        <v>0.01</v>
      </c>
      <c r="F244">
        <f>regression!F244</f>
        <v>0.49649820800886935</v>
      </c>
      <c r="G244">
        <f>regression!G244</f>
        <v>0.53820000000000001</v>
      </c>
      <c r="H244">
        <f>regression!H244</f>
        <v>4.1470000000000002</v>
      </c>
      <c r="I244">
        <f t="shared" si="9"/>
        <v>-2.7254375962162003</v>
      </c>
      <c r="J244">
        <f t="shared" si="10"/>
        <v>0.61566281059936245</v>
      </c>
      <c r="K244">
        <f t="shared" si="11"/>
        <v>0.58224896611307009</v>
      </c>
    </row>
    <row r="245" spans="1:11" x14ac:dyDescent="0.25">
      <c r="A245">
        <f>regression!A245</f>
        <v>2009</v>
      </c>
      <c r="B245">
        <f>regression!B245</f>
        <v>360</v>
      </c>
      <c r="C245" t="str">
        <f>regression!C245</f>
        <v>Retail</v>
      </c>
      <c r="D245" t="str">
        <f>regression!D245</f>
        <v>Sub.</v>
      </c>
      <c r="E245">
        <f>regression!E245</f>
        <v>0.1064265402954816</v>
      </c>
      <c r="F245">
        <f>regression!F245</f>
        <v>0.43238411062561111</v>
      </c>
      <c r="G245">
        <f>regression!G245</f>
        <v>0.71150000000000002</v>
      </c>
      <c r="H245">
        <f>regression!H245</f>
        <v>2.2469999999999999</v>
      </c>
      <c r="I245">
        <f t="shared" si="9"/>
        <v>-1.6701426410595026</v>
      </c>
      <c r="J245">
        <f t="shared" si="10"/>
        <v>0.59516652407993531</v>
      </c>
      <c r="K245">
        <f t="shared" si="11"/>
        <v>0.85155128051651474</v>
      </c>
    </row>
    <row r="246" spans="1:11" x14ac:dyDescent="0.25">
      <c r="A246">
        <f>regression!A246</f>
        <v>2009</v>
      </c>
      <c r="B246">
        <f>regression!B246</f>
        <v>361</v>
      </c>
      <c r="C246" t="str">
        <f>regression!C246</f>
        <v>Tech</v>
      </c>
      <c r="D246" t="str">
        <f>regression!D246</f>
        <v>Sr. Sec.</v>
      </c>
      <c r="E246">
        <f>regression!E246</f>
        <v>4.4815081080794461E-2</v>
      </c>
      <c r="F246">
        <f>regression!F246</f>
        <v>0.78427238814233391</v>
      </c>
      <c r="G246">
        <f>regression!G246</f>
        <v>0.36450000000000005</v>
      </c>
      <c r="H246">
        <f>regression!H246</f>
        <v>1.1639999999999999</v>
      </c>
      <c r="I246">
        <f t="shared" si="9"/>
        <v>-2.1057352738248509</v>
      </c>
      <c r="J246">
        <f t="shared" si="10"/>
        <v>0.70765977054485041</v>
      </c>
      <c r="K246">
        <f t="shared" si="11"/>
        <v>0.17853553299875924</v>
      </c>
    </row>
    <row r="247" spans="1:11" x14ac:dyDescent="0.25">
      <c r="A247">
        <f>regression!A247</f>
        <v>2009</v>
      </c>
      <c r="B247">
        <f>regression!B247</f>
        <v>361</v>
      </c>
      <c r="C247" t="str">
        <f>regression!C247</f>
        <v>Tech</v>
      </c>
      <c r="D247" t="str">
        <f>regression!D247</f>
        <v>Sr. Sub.</v>
      </c>
      <c r="E247">
        <f>regression!E247</f>
        <v>9.389274293184291E-2</v>
      </c>
      <c r="F247">
        <f>regression!F247</f>
        <v>0.78427238814233391</v>
      </c>
      <c r="G247">
        <f>regression!G247</f>
        <v>0.70330000000000004</v>
      </c>
      <c r="H247">
        <f>regression!H247</f>
        <v>1.1639999999999999</v>
      </c>
      <c r="I247">
        <f t="shared" si="9"/>
        <v>-1.7384524725895369</v>
      </c>
      <c r="J247">
        <f t="shared" si="10"/>
        <v>0.70765977054485041</v>
      </c>
      <c r="K247">
        <f t="shared" si="11"/>
        <v>0.85733869774229798</v>
      </c>
    </row>
    <row r="248" spans="1:11" x14ac:dyDescent="0.25">
      <c r="A248">
        <f>regression!A248</f>
        <v>2009</v>
      </c>
      <c r="B248">
        <f>regression!B248</f>
        <v>362</v>
      </c>
      <c r="C248" t="str">
        <f>regression!C248</f>
        <v>Transp</v>
      </c>
      <c r="D248" t="str">
        <f>regression!D248</f>
        <v>Sr. Unsec.</v>
      </c>
      <c r="E248">
        <f>regression!E248</f>
        <v>0.88519041690826417</v>
      </c>
      <c r="F248">
        <f>regression!F248</f>
        <v>0.8602696664313787</v>
      </c>
      <c r="G248">
        <f>regression!G248</f>
        <v>0.53820000000000001</v>
      </c>
      <c r="H248">
        <f>regression!H248</f>
        <v>2.9630000000000001</v>
      </c>
      <c r="I248">
        <f t="shared" si="9"/>
        <v>0.54484205935887031</v>
      </c>
      <c r="J248">
        <f t="shared" si="10"/>
        <v>0.73195492643229243</v>
      </c>
      <c r="K248">
        <f t="shared" si="11"/>
        <v>0.60924239035392169</v>
      </c>
    </row>
    <row r="249" spans="1:11" x14ac:dyDescent="0.25">
      <c r="A249">
        <f>regression!A249</f>
        <v>2009</v>
      </c>
      <c r="B249">
        <f>regression!B249</f>
        <v>363</v>
      </c>
      <c r="C249" t="str">
        <f>regression!C249</f>
        <v>Retail</v>
      </c>
      <c r="D249" t="str">
        <f>regression!D249</f>
        <v>Sr. Unsec.</v>
      </c>
      <c r="E249">
        <f>regression!E249</f>
        <v>0.34757492375373833</v>
      </c>
      <c r="F249">
        <f>regression!F249</f>
        <v>0.7078579789902919</v>
      </c>
      <c r="G249">
        <f>regression!G249</f>
        <v>0.53820000000000001</v>
      </c>
      <c r="H249">
        <f>regression!H249</f>
        <v>2.2469999999999999</v>
      </c>
      <c r="I249">
        <f t="shared" si="9"/>
        <v>-0.87007822994943296</v>
      </c>
      <c r="J249">
        <f t="shared" si="10"/>
        <v>0.68323126436421178</v>
      </c>
      <c r="K249">
        <f t="shared" si="11"/>
        <v>0.55501706837161191</v>
      </c>
    </row>
    <row r="250" spans="1:11" x14ac:dyDescent="0.25">
      <c r="A250">
        <f>regression!A250</f>
        <v>2009</v>
      </c>
      <c r="B250">
        <f>regression!B250</f>
        <v>363</v>
      </c>
      <c r="C250" t="str">
        <f>regression!C250</f>
        <v>Retail</v>
      </c>
      <c r="D250" t="str">
        <f>regression!D250</f>
        <v>Sr. Sub.</v>
      </c>
      <c r="E250">
        <f>regression!E250</f>
        <v>0.86661755257844919</v>
      </c>
      <c r="F250">
        <f>regression!F250</f>
        <v>0.7078579789902919</v>
      </c>
      <c r="G250">
        <f>regression!G250</f>
        <v>0.70330000000000004</v>
      </c>
      <c r="H250">
        <f>regression!H250</f>
        <v>2.2469999999999999</v>
      </c>
      <c r="I250">
        <f t="shared" si="9"/>
        <v>0.46660112368787743</v>
      </c>
      <c r="J250">
        <f t="shared" si="10"/>
        <v>0.68323126436421178</v>
      </c>
      <c r="K250">
        <f t="shared" si="11"/>
        <v>0.87110625304379874</v>
      </c>
    </row>
    <row r="251" spans="1:11" x14ac:dyDescent="0.25">
      <c r="A251">
        <f>regression!A251</f>
        <v>2009</v>
      </c>
      <c r="B251">
        <f>regression!B251</f>
        <v>364</v>
      </c>
      <c r="C251" t="str">
        <f>regression!C251</f>
        <v>Cons G</v>
      </c>
      <c r="D251" t="str">
        <f>regression!D251</f>
        <v>Sr. Unsec.</v>
      </c>
      <c r="E251">
        <f>regression!E251</f>
        <v>0.94011936599195001</v>
      </c>
      <c r="F251">
        <f>regression!F251</f>
        <v>0.57186613101325878</v>
      </c>
      <c r="G251">
        <f>regression!G251</f>
        <v>0.53820000000000001</v>
      </c>
      <c r="H251">
        <f>regression!H251</f>
        <v>3.7829999999999999</v>
      </c>
      <c r="I251">
        <f t="shared" si="9"/>
        <v>0.84790014475121589</v>
      </c>
      <c r="J251">
        <f t="shared" si="10"/>
        <v>0.63975677132437858</v>
      </c>
      <c r="K251">
        <f t="shared" si="11"/>
        <v>0.58367830369080509</v>
      </c>
    </row>
    <row r="252" spans="1:11" x14ac:dyDescent="0.25">
      <c r="A252">
        <f>regression!A252</f>
        <v>2009</v>
      </c>
      <c r="B252">
        <f>regression!B252</f>
        <v>365</v>
      </c>
      <c r="C252" t="str">
        <f>regression!C252</f>
        <v>Cons G</v>
      </c>
      <c r="D252" t="str">
        <f>regression!D252</f>
        <v>Sr. Sub.</v>
      </c>
      <c r="E252">
        <f>regression!E252</f>
        <v>0.49475931880474089</v>
      </c>
      <c r="F252">
        <f>regression!F252</f>
        <v>0.38282746358703185</v>
      </c>
      <c r="G252">
        <f>regression!G252</f>
        <v>0.70330000000000004</v>
      </c>
      <c r="H252">
        <f>regression!H252</f>
        <v>3.7829999999999999</v>
      </c>
      <c r="I252">
        <f t="shared" si="9"/>
        <v>-0.52503263838671455</v>
      </c>
      <c r="J252">
        <f t="shared" si="10"/>
        <v>0.579324029556881</v>
      </c>
      <c r="K252">
        <f t="shared" si="11"/>
        <v>0.86694875503638524</v>
      </c>
    </row>
    <row r="253" spans="1:11" x14ac:dyDescent="0.25">
      <c r="A253">
        <f>regression!A253</f>
        <v>2009</v>
      </c>
      <c r="B253">
        <f>regression!B253</f>
        <v>367</v>
      </c>
      <c r="C253" t="str">
        <f>regression!C253</f>
        <v>Tech</v>
      </c>
      <c r="D253" t="str">
        <f>regression!D253</f>
        <v>Sr. Sec.</v>
      </c>
      <c r="E253">
        <f>regression!E253</f>
        <v>0.83732212998270983</v>
      </c>
      <c r="F253">
        <f>regression!F253</f>
        <v>0.27879191796414449</v>
      </c>
      <c r="G253">
        <f>regression!G253</f>
        <v>0.36450000000000005</v>
      </c>
      <c r="H253">
        <f>regression!H253</f>
        <v>1.1639999999999999</v>
      </c>
      <c r="I253">
        <f t="shared" si="9"/>
        <v>0.35669866035770209</v>
      </c>
      <c r="J253">
        <f t="shared" si="10"/>
        <v>0.54606547272896511</v>
      </c>
      <c r="K253">
        <f t="shared" si="11"/>
        <v>0.12438028193828295</v>
      </c>
    </row>
    <row r="254" spans="1:11" x14ac:dyDescent="0.25">
      <c r="A254">
        <f>regression!A254</f>
        <v>2009</v>
      </c>
      <c r="B254">
        <f>regression!B254</f>
        <v>371</v>
      </c>
      <c r="C254" t="str">
        <f>regression!C254</f>
        <v>Retail</v>
      </c>
      <c r="D254" t="str">
        <f>regression!D254</f>
        <v>Sr. Unsec.</v>
      </c>
      <c r="E254">
        <f>regression!E254</f>
        <v>0.78473769719898701</v>
      </c>
      <c r="F254">
        <f>regression!F254</f>
        <v>0.88912010439962941</v>
      </c>
      <c r="G254">
        <f>regression!G254</f>
        <v>0.53820000000000001</v>
      </c>
      <c r="H254">
        <f>regression!H254</f>
        <v>2.2469999999999999</v>
      </c>
      <c r="I254">
        <f t="shared" si="9"/>
        <v>0.18677537426317761</v>
      </c>
      <c r="J254">
        <f t="shared" si="10"/>
        <v>0.7411779657784352</v>
      </c>
      <c r="K254">
        <f t="shared" si="11"/>
        <v>0.58955186439138685</v>
      </c>
    </row>
    <row r="255" spans="1:11" x14ac:dyDescent="0.25">
      <c r="A255">
        <f>regression!A255</f>
        <v>2009</v>
      </c>
      <c r="B255">
        <f>regression!B255</f>
        <v>371</v>
      </c>
      <c r="C255" t="str">
        <f>regression!C255</f>
        <v>Retail</v>
      </c>
      <c r="D255" t="str">
        <f>regression!D255</f>
        <v>Sr. Sub.</v>
      </c>
      <c r="E255">
        <f>regression!E255</f>
        <v>0.94286120855808253</v>
      </c>
      <c r="F255">
        <f>regression!F255</f>
        <v>0.88912010439962941</v>
      </c>
      <c r="G255">
        <f>regression!G255</f>
        <v>0.70330000000000004</v>
      </c>
      <c r="H255">
        <f>regression!H255</f>
        <v>2.2469999999999999</v>
      </c>
      <c r="I255">
        <f t="shared" si="9"/>
        <v>0.8678486136850424</v>
      </c>
      <c r="J255">
        <f t="shared" si="10"/>
        <v>0.7411779657784352</v>
      </c>
      <c r="K255">
        <f t="shared" si="11"/>
        <v>0.88937826266939801</v>
      </c>
    </row>
    <row r="256" spans="1:11" x14ac:dyDescent="0.25">
      <c r="A256">
        <f>regression!A256</f>
        <v>2009</v>
      </c>
      <c r="B256">
        <f>regression!B256</f>
        <v>373</v>
      </c>
      <c r="C256" t="str">
        <f>regression!C256</f>
        <v>Transp</v>
      </c>
      <c r="D256" t="str">
        <f>regression!D256</f>
        <v>Sr. Unsec.</v>
      </c>
      <c r="E256">
        <f>regression!E256</f>
        <v>0.45680370292663586</v>
      </c>
      <c r="F256">
        <f>regression!F256</f>
        <v>0.43408230532687303</v>
      </c>
      <c r="G256">
        <f>regression!G256</f>
        <v>0.53820000000000001</v>
      </c>
      <c r="H256">
        <f>regression!H256</f>
        <v>2.9630000000000001</v>
      </c>
      <c r="I256">
        <f t="shared" si="9"/>
        <v>-0.61135376627095805</v>
      </c>
      <c r="J256">
        <f t="shared" si="10"/>
        <v>0.59570941069276206</v>
      </c>
      <c r="K256">
        <f t="shared" si="11"/>
        <v>0.52806616297925002</v>
      </c>
    </row>
    <row r="257" spans="1:11" x14ac:dyDescent="0.25">
      <c r="A257">
        <f>regression!A257</f>
        <v>2009</v>
      </c>
      <c r="B257">
        <f>regression!B257</f>
        <v>374</v>
      </c>
      <c r="C257" t="str">
        <f>regression!C257</f>
        <v>Retail</v>
      </c>
      <c r="D257" t="str">
        <f>regression!D257</f>
        <v>Sub.</v>
      </c>
      <c r="E257">
        <f>regression!E257</f>
        <v>0.98092117155790326</v>
      </c>
      <c r="F257">
        <f>regression!F257</f>
        <v>0.63373316103335098</v>
      </c>
      <c r="G257">
        <f>regression!G257</f>
        <v>0.71150000000000002</v>
      </c>
      <c r="H257">
        <f>regression!H257</f>
        <v>2.2469999999999999</v>
      </c>
      <c r="I257">
        <f t="shared" si="9"/>
        <v>1.2841882105483708</v>
      </c>
      <c r="J257">
        <f t="shared" si="10"/>
        <v>0.65953470511977708</v>
      </c>
      <c r="K257">
        <f t="shared" si="11"/>
        <v>0.87380090215717976</v>
      </c>
    </row>
    <row r="258" spans="1:11" x14ac:dyDescent="0.25">
      <c r="A258">
        <f>regression!A258</f>
        <v>2009</v>
      </c>
      <c r="B258">
        <f>regression!B258</f>
        <v>375</v>
      </c>
      <c r="C258" t="str">
        <f>regression!C258</f>
        <v>Media</v>
      </c>
      <c r="D258" t="str">
        <f>regression!D258</f>
        <v>Sub.</v>
      </c>
      <c r="E258">
        <f>regression!E258</f>
        <v>0.95201916438341139</v>
      </c>
      <c r="F258">
        <f>regression!F258</f>
        <v>0.72747476738196326</v>
      </c>
      <c r="G258">
        <f>regression!G258</f>
        <v>0.71150000000000002</v>
      </c>
      <c r="H258">
        <f>regression!H258</f>
        <v>4.1470000000000002</v>
      </c>
      <c r="I258">
        <f t="shared" si="9"/>
        <v>0.94036679841072457</v>
      </c>
      <c r="J258">
        <f t="shared" si="10"/>
        <v>0.68950244857917753</v>
      </c>
      <c r="K258">
        <f t="shared" si="11"/>
        <v>0.91488763791327088</v>
      </c>
    </row>
    <row r="259" spans="1:11" x14ac:dyDescent="0.25">
      <c r="A259">
        <f>regression!A259</f>
        <v>2009</v>
      </c>
      <c r="B259">
        <f>regression!B259</f>
        <v>376</v>
      </c>
      <c r="C259" t="str">
        <f>regression!C259</f>
        <v>Retail</v>
      </c>
      <c r="D259" t="str">
        <f>regression!D259</f>
        <v>Sr. Unsec.</v>
      </c>
      <c r="E259">
        <f>regression!E259</f>
        <v>0.22625576134324077</v>
      </c>
      <c r="F259">
        <f>regression!F259</f>
        <v>0.38796052863253327</v>
      </c>
      <c r="G259">
        <f>regression!G259</f>
        <v>0.53820000000000001</v>
      </c>
      <c r="H259">
        <f>regression!H259</f>
        <v>2.2469999999999999</v>
      </c>
      <c r="I259">
        <f t="shared" ref="I259:I318" si="12">NORMSINV(BETADIST(E259,N$14,N$15))</f>
        <v>-1.2029886932500611</v>
      </c>
      <c r="J259">
        <f t="shared" si="10"/>
        <v>0.58096499115798639</v>
      </c>
      <c r="K259">
        <f t="shared" si="11"/>
        <v>0.49352824157957587</v>
      </c>
    </row>
    <row r="260" spans="1:11" x14ac:dyDescent="0.25">
      <c r="A260">
        <f>regression!A260</f>
        <v>2009</v>
      </c>
      <c r="B260">
        <f>regression!B260</f>
        <v>377</v>
      </c>
      <c r="C260" t="str">
        <f>regression!C260</f>
        <v>Tech</v>
      </c>
      <c r="D260" t="str">
        <f>regression!D260</f>
        <v>Sr. Sub.</v>
      </c>
      <c r="E260">
        <f>regression!E260</f>
        <v>0.96573652245521546</v>
      </c>
      <c r="F260">
        <f>regression!F260</f>
        <v>0.51099417420659754</v>
      </c>
      <c r="G260">
        <f>regression!G260</f>
        <v>0.70330000000000004</v>
      </c>
      <c r="H260">
        <f>regression!H260</f>
        <v>1.1639999999999999</v>
      </c>
      <c r="I260">
        <f t="shared" si="12"/>
        <v>1.0728352842382982</v>
      </c>
      <c r="J260">
        <f t="shared" si="10"/>
        <v>0.6202969470637425</v>
      </c>
      <c r="K260">
        <f t="shared" si="11"/>
        <v>0.82413729916662148</v>
      </c>
    </row>
    <row r="261" spans="1:11" x14ac:dyDescent="0.25">
      <c r="A261">
        <f>regression!A261</f>
        <v>2009</v>
      </c>
      <c r="B261">
        <f>regression!B261</f>
        <v>378</v>
      </c>
      <c r="C261" t="str">
        <f>regression!C261</f>
        <v>Transp</v>
      </c>
      <c r="D261" t="str">
        <f>regression!D261</f>
        <v>Sr. Unsec.</v>
      </c>
      <c r="E261">
        <f>regression!E261</f>
        <v>0.60189073845267305</v>
      </c>
      <c r="F261">
        <f>regression!F261</f>
        <v>0.2635472241507642</v>
      </c>
      <c r="G261">
        <f>regression!G261</f>
        <v>0.53820000000000001</v>
      </c>
      <c r="H261">
        <f>regression!H261</f>
        <v>2.9630000000000001</v>
      </c>
      <c r="I261">
        <f t="shared" si="12"/>
        <v>-0.2813139448715038</v>
      </c>
      <c r="J261">
        <f t="shared" si="10"/>
        <v>0.54119197961196508</v>
      </c>
      <c r="K261">
        <f t="shared" si="11"/>
        <v>0.49526191497151933</v>
      </c>
    </row>
    <row r="262" spans="1:11" x14ac:dyDescent="0.25">
      <c r="A262">
        <f>regression!A262</f>
        <v>2009</v>
      </c>
      <c r="B262">
        <f>regression!B262</f>
        <v>379</v>
      </c>
      <c r="C262" t="str">
        <f>regression!C262</f>
        <v>Retail</v>
      </c>
      <c r="D262" t="str">
        <f>regression!D262</f>
        <v>Sub.</v>
      </c>
      <c r="E262">
        <f>regression!E262</f>
        <v>0.12357387948870657</v>
      </c>
      <c r="F262">
        <f>regression!F262</f>
        <v>0.65727629181247493</v>
      </c>
      <c r="G262">
        <f>regression!G262</f>
        <v>0.71150000000000002</v>
      </c>
      <c r="H262">
        <f>regression!H262</f>
        <v>2.2469999999999999</v>
      </c>
      <c r="I262">
        <f t="shared" si="12"/>
        <v>-1.5858165392365871</v>
      </c>
      <c r="J262">
        <f t="shared" si="10"/>
        <v>0.66706108034313427</v>
      </c>
      <c r="K262">
        <f t="shared" si="11"/>
        <v>0.8762470713068079</v>
      </c>
    </row>
    <row r="263" spans="1:11" x14ac:dyDescent="0.25">
      <c r="A263">
        <f>regression!A263</f>
        <v>2009</v>
      </c>
      <c r="B263">
        <f>regression!B263</f>
        <v>380</v>
      </c>
      <c r="C263" t="str">
        <f>regression!C263</f>
        <v>Cons G</v>
      </c>
      <c r="D263" t="str">
        <f>regression!D263</f>
        <v>Sr. Unsec.</v>
      </c>
      <c r="E263">
        <f>regression!E263</f>
        <v>0.32080336864948278</v>
      </c>
      <c r="F263">
        <f>regression!F263</f>
        <v>0.66162113579716153</v>
      </c>
      <c r="G263">
        <f>regression!G263</f>
        <v>0.53820000000000001</v>
      </c>
      <c r="H263">
        <f>regression!H263</f>
        <v>3.7829999999999999</v>
      </c>
      <c r="I263">
        <f t="shared" si="12"/>
        <v>-0.9377961391169658</v>
      </c>
      <c r="J263">
        <f t="shared" si="10"/>
        <v>0.66845005984728312</v>
      </c>
      <c r="K263">
        <f t="shared" si="11"/>
        <v>0.60064017218066712</v>
      </c>
    </row>
    <row r="264" spans="1:11" x14ac:dyDescent="0.25">
      <c r="A264">
        <f>regression!A264</f>
        <v>2009</v>
      </c>
      <c r="B264">
        <f>regression!B264</f>
        <v>380</v>
      </c>
      <c r="C264" t="str">
        <f>regression!C264</f>
        <v>Cons G</v>
      </c>
      <c r="D264" t="str">
        <f>regression!D264</f>
        <v>Sub.</v>
      </c>
      <c r="E264">
        <f>regression!E264</f>
        <v>0.73831400333344932</v>
      </c>
      <c r="F264">
        <f>regression!F264</f>
        <v>0.66162113579716153</v>
      </c>
      <c r="G264">
        <f>regression!G264</f>
        <v>0.71150000000000002</v>
      </c>
      <c r="H264">
        <f>regression!H264</f>
        <v>3.7829999999999999</v>
      </c>
      <c r="I264">
        <f t="shared" si="12"/>
        <v>5.5209228383992517E-2</v>
      </c>
      <c r="J264">
        <f t="shared" si="10"/>
        <v>0.66845005984728312</v>
      </c>
      <c r="K264">
        <f t="shared" si="11"/>
        <v>0.90380573495750349</v>
      </c>
    </row>
    <row r="265" spans="1:11" x14ac:dyDescent="0.25">
      <c r="A265">
        <f>regression!A265</f>
        <v>2009</v>
      </c>
      <c r="B265">
        <f>regression!B265</f>
        <v>383</v>
      </c>
      <c r="C265" t="str">
        <f>regression!C265</f>
        <v>Tech</v>
      </c>
      <c r="D265" t="str">
        <f>regression!D265</f>
        <v>Sr. Unsec.</v>
      </c>
      <c r="E265">
        <f>regression!E265</f>
        <v>0.51683621197223673</v>
      </c>
      <c r="F265">
        <f>regression!F265</f>
        <v>0.29443248187978632</v>
      </c>
      <c r="G265">
        <f>regression!G265</f>
        <v>0.53820000000000001</v>
      </c>
      <c r="H265">
        <f>regression!H265</f>
        <v>1.1639999999999999</v>
      </c>
      <c r="I265">
        <f t="shared" si="12"/>
        <v>-0.47508987163309968</v>
      </c>
      <c r="J265">
        <f t="shared" si="10"/>
        <v>0.55106551940238391</v>
      </c>
      <c r="K265">
        <f t="shared" si="11"/>
        <v>0.43722378033219933</v>
      </c>
    </row>
    <row r="266" spans="1:11" x14ac:dyDescent="0.25">
      <c r="A266">
        <f>regression!A266</f>
        <v>2009</v>
      </c>
      <c r="B266">
        <f>regression!B266</f>
        <v>384</v>
      </c>
      <c r="C266" t="str">
        <f>regression!C266</f>
        <v>Cap Ind</v>
      </c>
      <c r="D266" t="str">
        <f>regression!D266</f>
        <v>Sr. Unsec.</v>
      </c>
      <c r="E266">
        <f>regression!E266</f>
        <v>0.64276520416140559</v>
      </c>
      <c r="F266">
        <f>regression!F266</f>
        <v>0.74933162634638362</v>
      </c>
      <c r="G266">
        <f>regression!G266</f>
        <v>0.53820000000000001</v>
      </c>
      <c r="H266">
        <f>regression!H266</f>
        <v>3.0710000000000002</v>
      </c>
      <c r="I266">
        <f t="shared" si="12"/>
        <v>-0.18544903652153968</v>
      </c>
      <c r="J266">
        <f t="shared" si="10"/>
        <v>0.69648974875235992</v>
      </c>
      <c r="K266">
        <f t="shared" si="11"/>
        <v>0.59215721369130137</v>
      </c>
    </row>
    <row r="267" spans="1:11" x14ac:dyDescent="0.25">
      <c r="A267">
        <f>regression!A267</f>
        <v>2009</v>
      </c>
      <c r="B267">
        <f>regression!B267</f>
        <v>386</v>
      </c>
      <c r="C267" t="str">
        <f>regression!C267</f>
        <v>Retail</v>
      </c>
      <c r="D267" t="str">
        <f>regression!D267</f>
        <v>Sr. Unsec.</v>
      </c>
      <c r="E267">
        <f>regression!E267</f>
        <v>0.90086044161319734</v>
      </c>
      <c r="F267">
        <f>regression!F267</f>
        <v>0.2157220223224087</v>
      </c>
      <c r="G267">
        <f>regression!G267</f>
        <v>0.53820000000000001</v>
      </c>
      <c r="H267">
        <f>regression!H267</f>
        <v>2.2469999999999999</v>
      </c>
      <c r="I267">
        <f t="shared" si="12"/>
        <v>0.61796895942314556</v>
      </c>
      <c r="J267">
        <f t="shared" si="10"/>
        <v>0.52590300137580936</v>
      </c>
      <c r="K267">
        <f t="shared" si="11"/>
        <v>0.46056335177648705</v>
      </c>
    </row>
    <row r="268" spans="1:11" x14ac:dyDescent="0.25">
      <c r="A268">
        <f>regression!A268</f>
        <v>2009</v>
      </c>
      <c r="B268">
        <f>regression!B268</f>
        <v>387</v>
      </c>
      <c r="C268" t="str">
        <f>regression!C268</f>
        <v>Tech</v>
      </c>
      <c r="D268" t="str">
        <f>regression!D268</f>
        <v>Sr. Unsec.</v>
      </c>
      <c r="E268">
        <f>regression!E268</f>
        <v>0.99</v>
      </c>
      <c r="F268">
        <f>regression!F268</f>
        <v>0.70400566630307149</v>
      </c>
      <c r="G268">
        <f>regression!G268</f>
        <v>0.53820000000000001</v>
      </c>
      <c r="H268">
        <f>regression!H268</f>
        <v>1.1639999999999999</v>
      </c>
      <c r="I268">
        <f t="shared" si="12"/>
        <v>1.4954060676963419</v>
      </c>
      <c r="J268">
        <f t="shared" si="10"/>
        <v>0.68199973950739756</v>
      </c>
      <c r="K268">
        <f t="shared" si="11"/>
        <v>0.51549222392343852</v>
      </c>
    </row>
    <row r="269" spans="1:11" x14ac:dyDescent="0.25">
      <c r="A269">
        <f>regression!A269</f>
        <v>2009</v>
      </c>
      <c r="B269">
        <f>regression!B269</f>
        <v>389</v>
      </c>
      <c r="C269" t="str">
        <f>regression!C269</f>
        <v>Cons G</v>
      </c>
      <c r="D269" t="str">
        <f>regression!D269</f>
        <v>Sr. Unsec.</v>
      </c>
      <c r="E269">
        <f>regression!E269</f>
        <v>0.97801503514111043</v>
      </c>
      <c r="F269">
        <f>regression!F269</f>
        <v>0.41033124213439331</v>
      </c>
      <c r="G269">
        <f>regression!G269</f>
        <v>0.53820000000000001</v>
      </c>
      <c r="H269">
        <f>regression!H269</f>
        <v>3.7829999999999999</v>
      </c>
      <c r="I269">
        <f t="shared" si="12"/>
        <v>1.234951034882795</v>
      </c>
      <c r="J269">
        <f t="shared" si="10"/>
        <v>0.5881165626889282</v>
      </c>
      <c r="K269">
        <f t="shared" si="11"/>
        <v>0.55285757680388259</v>
      </c>
    </row>
    <row r="270" spans="1:11" x14ac:dyDescent="0.25">
      <c r="A270">
        <f>regression!A270</f>
        <v>2009</v>
      </c>
      <c r="B270">
        <f>regression!B270</f>
        <v>390</v>
      </c>
      <c r="C270" t="str">
        <f>regression!C270</f>
        <v>Tech</v>
      </c>
      <c r="D270" t="str">
        <f>regression!D270</f>
        <v>Sr. Unsec.</v>
      </c>
      <c r="E270">
        <f>regression!E270</f>
        <v>0.42209384719431409</v>
      </c>
      <c r="F270">
        <f>regression!F270</f>
        <v>0.31096274236329674</v>
      </c>
      <c r="G270">
        <f>regression!G270</f>
        <v>0.53820000000000001</v>
      </c>
      <c r="H270">
        <f>regression!H270</f>
        <v>1.1639999999999999</v>
      </c>
      <c r="I270">
        <f t="shared" si="12"/>
        <v>-0.69138922480119802</v>
      </c>
      <c r="J270">
        <f t="shared" si="10"/>
        <v>0.5563499883248032</v>
      </c>
      <c r="K270">
        <f t="shared" si="11"/>
        <v>0.44034290581982899</v>
      </c>
    </row>
    <row r="271" spans="1:11" x14ac:dyDescent="0.25">
      <c r="A271">
        <f>regression!A271</f>
        <v>2009</v>
      </c>
      <c r="B271">
        <f>regression!B271</f>
        <v>390</v>
      </c>
      <c r="C271" t="str">
        <f>regression!C271</f>
        <v>Tech</v>
      </c>
      <c r="D271" t="str">
        <f>regression!D271</f>
        <v>Sr. Sub.</v>
      </c>
      <c r="E271">
        <f>regression!E271</f>
        <v>0.53694779936671266</v>
      </c>
      <c r="F271">
        <f>regression!F271</f>
        <v>0.31096274236329674</v>
      </c>
      <c r="G271">
        <f>regression!G271</f>
        <v>0.70330000000000004</v>
      </c>
      <c r="H271">
        <f>regression!H271</f>
        <v>1.1639999999999999</v>
      </c>
      <c r="I271">
        <f t="shared" si="12"/>
        <v>-0.42960051316368153</v>
      </c>
      <c r="J271">
        <f t="shared" si="10"/>
        <v>0.5563499883248032</v>
      </c>
      <c r="K271">
        <f t="shared" si="11"/>
        <v>0.79709165592055831</v>
      </c>
    </row>
    <row r="272" spans="1:11" x14ac:dyDescent="0.25">
      <c r="A272">
        <f>regression!A272</f>
        <v>2009</v>
      </c>
      <c r="B272">
        <f>regression!B272</f>
        <v>391</v>
      </c>
      <c r="C272" t="str">
        <f>regression!C272</f>
        <v>Transp</v>
      </c>
      <c r="D272" t="str">
        <f>regression!D272</f>
        <v>Sr. Unsec.</v>
      </c>
      <c r="E272">
        <f>regression!E272</f>
        <v>0.13689371609687806</v>
      </c>
      <c r="F272">
        <f>regression!F272</f>
        <v>0.28673200557218081</v>
      </c>
      <c r="G272">
        <f>regression!G272</f>
        <v>0.53820000000000001</v>
      </c>
      <c r="H272">
        <f>regression!H272</f>
        <v>2.9630000000000001</v>
      </c>
      <c r="I272">
        <f t="shared" si="12"/>
        <v>-1.5260323699470217</v>
      </c>
      <c r="J272">
        <f t="shared" si="10"/>
        <v>0.54860379608132914</v>
      </c>
      <c r="K272">
        <f t="shared" si="11"/>
        <v>0.49971786922703637</v>
      </c>
    </row>
    <row r="273" spans="1:11" x14ac:dyDescent="0.25">
      <c r="A273">
        <f>regression!A273</f>
        <v>2009</v>
      </c>
      <c r="B273">
        <f>regression!B273</f>
        <v>392</v>
      </c>
      <c r="C273" t="str">
        <f>regression!C273</f>
        <v>Media</v>
      </c>
      <c r="D273" t="str">
        <f>regression!D273</f>
        <v>Sr. Unsec.</v>
      </c>
      <c r="E273">
        <f>regression!E273</f>
        <v>0.11106657668948172</v>
      </c>
      <c r="F273">
        <f>regression!F273</f>
        <v>9.9664482237793034E-2</v>
      </c>
      <c r="G273">
        <f>regression!G273</f>
        <v>0.53820000000000001</v>
      </c>
      <c r="H273">
        <f>regression!H273</f>
        <v>4.1470000000000002</v>
      </c>
      <c r="I273">
        <f t="shared" si="12"/>
        <v>-1.6463872072868206</v>
      </c>
      <c r="J273">
        <f t="shared" si="10"/>
        <v>0.48880119863039118</v>
      </c>
      <c r="K273">
        <f t="shared" si="11"/>
        <v>0.50617722487727779</v>
      </c>
    </row>
    <row r="274" spans="1:11" x14ac:dyDescent="0.25">
      <c r="A274">
        <f>regression!A274</f>
        <v>2009</v>
      </c>
      <c r="B274">
        <f>regression!B274</f>
        <v>394</v>
      </c>
      <c r="C274" t="str">
        <f>regression!C274</f>
        <v>Retail</v>
      </c>
      <c r="D274" t="str">
        <f>regression!D274</f>
        <v>Sr. Unsec.</v>
      </c>
      <c r="E274">
        <f>regression!E274</f>
        <v>0.39909116290807733</v>
      </c>
      <c r="F274">
        <f>regression!F274</f>
        <v>9.678995646694917E-2</v>
      </c>
      <c r="G274">
        <f>regression!G274</f>
        <v>0.53820000000000001</v>
      </c>
      <c r="H274">
        <f>regression!H274</f>
        <v>2.2469999999999999</v>
      </c>
      <c r="I274">
        <f t="shared" si="12"/>
        <v>-0.74534183393824927</v>
      </c>
      <c r="J274">
        <f t="shared" si="10"/>
        <v>0.48788225714620398</v>
      </c>
      <c r="K274">
        <f t="shared" si="11"/>
        <v>0.43801413345496759</v>
      </c>
    </row>
    <row r="275" spans="1:11" x14ac:dyDescent="0.25">
      <c r="A275">
        <f>regression!A275</f>
        <v>2009</v>
      </c>
      <c r="B275">
        <f>regression!B275</f>
        <v>395</v>
      </c>
      <c r="C275" t="str">
        <f>regression!C275</f>
        <v>Tech</v>
      </c>
      <c r="D275" t="str">
        <f>regression!D275</f>
        <v>Sr. Unsec.</v>
      </c>
      <c r="E275">
        <f>regression!E275</f>
        <v>0.4598123176884652</v>
      </c>
      <c r="F275">
        <f>regression!F275</f>
        <v>0.54032434139996532</v>
      </c>
      <c r="G275">
        <f>regression!G275</f>
        <v>0.53820000000000001</v>
      </c>
      <c r="H275">
        <f>regression!H275</f>
        <v>1.1639999999999999</v>
      </c>
      <c r="I275">
        <f t="shared" si="12"/>
        <v>-0.60447572278263695</v>
      </c>
      <c r="J275">
        <f t="shared" si="10"/>
        <v>0.62967334843245215</v>
      </c>
      <c r="K275">
        <f t="shared" si="11"/>
        <v>0.48403336555291321</v>
      </c>
    </row>
    <row r="276" spans="1:11" x14ac:dyDescent="0.25">
      <c r="A276">
        <f>regression!A276</f>
        <v>2009</v>
      </c>
      <c r="B276">
        <f>regression!B276</f>
        <v>397</v>
      </c>
      <c r="C276" t="str">
        <f>regression!C276</f>
        <v>Retail</v>
      </c>
      <c r="D276" t="str">
        <f>regression!D276</f>
        <v>Sr. Unsec.</v>
      </c>
      <c r="E276">
        <f>regression!E276</f>
        <v>0.17569727358818066</v>
      </c>
      <c r="F276">
        <f>regression!F276</f>
        <v>0.36620354009352379</v>
      </c>
      <c r="G276">
        <f>regression!G276</f>
        <v>0.53820000000000001</v>
      </c>
      <c r="H276">
        <f>regression!H276</f>
        <v>2.2469999999999999</v>
      </c>
      <c r="I276">
        <f t="shared" si="12"/>
        <v>-1.3724277864673817</v>
      </c>
      <c r="J276">
        <f t="shared" si="10"/>
        <v>0.57400961801704165</v>
      </c>
      <c r="K276">
        <f t="shared" si="11"/>
        <v>0.48935036352871442</v>
      </c>
    </row>
    <row r="277" spans="1:11" x14ac:dyDescent="0.25">
      <c r="A277">
        <f>regression!A277</f>
        <v>2009</v>
      </c>
      <c r="B277">
        <f>regression!B277</f>
        <v>398</v>
      </c>
      <c r="C277" t="str">
        <f>regression!C277</f>
        <v>Media</v>
      </c>
      <c r="D277" t="str">
        <f>regression!D277</f>
        <v>Sr. Unsec.</v>
      </c>
      <c r="E277">
        <f>regression!E277</f>
        <v>0.14688390462696554</v>
      </c>
      <c r="F277">
        <f>regression!F277</f>
        <v>0.37882085751779726</v>
      </c>
      <c r="G277">
        <f>regression!G277</f>
        <v>0.53820000000000001</v>
      </c>
      <c r="H277">
        <f>regression!H277</f>
        <v>4.1470000000000002</v>
      </c>
      <c r="I277">
        <f t="shared" si="12"/>
        <v>-1.4838636090558177</v>
      </c>
      <c r="J277">
        <f t="shared" si="10"/>
        <v>0.5780431794893115</v>
      </c>
      <c r="K277">
        <f t="shared" si="11"/>
        <v>0.55981433852436735</v>
      </c>
    </row>
    <row r="278" spans="1:11" x14ac:dyDescent="0.25">
      <c r="A278">
        <f>regression!A278</f>
        <v>2009</v>
      </c>
      <c r="B278">
        <f>regression!B278</f>
        <v>399</v>
      </c>
      <c r="C278" t="str">
        <f>regression!C278</f>
        <v>Retail</v>
      </c>
      <c r="D278" t="str">
        <f>regression!D278</f>
        <v>Sr. Sec.</v>
      </c>
      <c r="E278">
        <f>regression!E278</f>
        <v>0.91377030686140059</v>
      </c>
      <c r="F278">
        <f>regression!F278</f>
        <v>0.24209187537345095</v>
      </c>
      <c r="G278">
        <f>regression!G278</f>
        <v>0.36450000000000005</v>
      </c>
      <c r="H278">
        <f>regression!H278</f>
        <v>2.2469999999999999</v>
      </c>
      <c r="I278">
        <f t="shared" si="12"/>
        <v>0.68467277537949645</v>
      </c>
      <c r="J278">
        <f t="shared" si="10"/>
        <v>0.53433303604320037</v>
      </c>
      <c r="K278">
        <f t="shared" si="11"/>
        <v>0.14058158226816514</v>
      </c>
    </row>
    <row r="279" spans="1:11" x14ac:dyDescent="0.25">
      <c r="A279">
        <f>regression!A279</f>
        <v>2009</v>
      </c>
      <c r="B279">
        <f>regression!B279</f>
        <v>400</v>
      </c>
      <c r="C279" t="str">
        <f>regression!C279</f>
        <v>Cons G</v>
      </c>
      <c r="D279" t="str">
        <f>regression!D279</f>
        <v>Sr. Unsec.</v>
      </c>
      <c r="E279">
        <f>regression!E279</f>
        <v>0.98947122612416749</v>
      </c>
      <c r="F279">
        <f>regression!F279</f>
        <v>0.72362715072366335</v>
      </c>
      <c r="G279">
        <f>regression!G279</f>
        <v>0.53820000000000001</v>
      </c>
      <c r="H279">
        <f>regression!H279</f>
        <v>3.7829999999999999</v>
      </c>
      <c r="I279">
        <f t="shared" si="12"/>
        <v>1.4792725545124301</v>
      </c>
      <c r="J279">
        <f t="shared" si="10"/>
        <v>0.68827242497026642</v>
      </c>
      <c r="K279">
        <f t="shared" si="11"/>
        <v>0.61226830721173742</v>
      </c>
    </row>
    <row r="280" spans="1:11" x14ac:dyDescent="0.25">
      <c r="A280">
        <f>regression!A280</f>
        <v>2009</v>
      </c>
      <c r="B280">
        <f>regression!B280</f>
        <v>401</v>
      </c>
      <c r="C280" t="str">
        <f>regression!C280</f>
        <v>Transp</v>
      </c>
      <c r="D280" t="str">
        <f>regression!D280</f>
        <v>Sr. Unsec.</v>
      </c>
      <c r="E280">
        <f>regression!E280</f>
        <v>0.90675463732719419</v>
      </c>
      <c r="F280">
        <f>regression!F280</f>
        <v>0.37327743147361359</v>
      </c>
      <c r="G280">
        <f>regression!G280</f>
        <v>0.53820000000000001</v>
      </c>
      <c r="H280">
        <f>regression!H280</f>
        <v>2.9630000000000001</v>
      </c>
      <c r="I280">
        <f t="shared" si="12"/>
        <v>0.64759566025834547</v>
      </c>
      <c r="J280">
        <f t="shared" si="10"/>
        <v>0.57627103181605244</v>
      </c>
      <c r="K280">
        <f t="shared" si="11"/>
        <v>0.51636642827378954</v>
      </c>
    </row>
    <row r="281" spans="1:11" x14ac:dyDescent="0.25">
      <c r="A281">
        <f>regression!A281</f>
        <v>2009</v>
      </c>
      <c r="B281">
        <f>regression!B281</f>
        <v>403</v>
      </c>
      <c r="C281" t="str">
        <f>regression!C281</f>
        <v>Cons G</v>
      </c>
      <c r="D281" t="str">
        <f>regression!D281</f>
        <v>Sr. Unsec.</v>
      </c>
      <c r="E281">
        <f>regression!E281</f>
        <v>0.45253682114183913</v>
      </c>
      <c r="F281">
        <f>regression!F281</f>
        <v>0.36976482851212733</v>
      </c>
      <c r="G281">
        <f>regression!G281</f>
        <v>0.53820000000000001</v>
      </c>
      <c r="H281">
        <f>regression!H281</f>
        <v>3.7829999999999999</v>
      </c>
      <c r="I281">
        <f t="shared" si="12"/>
        <v>-0.62112214095761398</v>
      </c>
      <c r="J281">
        <f t="shared" si="10"/>
        <v>0.57514810691082863</v>
      </c>
      <c r="K281">
        <f t="shared" si="11"/>
        <v>0.54507596731063412</v>
      </c>
    </row>
    <row r="282" spans="1:11" x14ac:dyDescent="0.25">
      <c r="A282">
        <f>regression!A282</f>
        <v>2009</v>
      </c>
      <c r="B282">
        <f>regression!B282</f>
        <v>404</v>
      </c>
      <c r="C282" t="str">
        <f>regression!C282</f>
        <v>Cons G</v>
      </c>
      <c r="D282" t="str">
        <f>regression!D282</f>
        <v>Sr. Unsec.</v>
      </c>
      <c r="E282">
        <f>regression!E282</f>
        <v>0.79086454966783526</v>
      </c>
      <c r="F282">
        <f>regression!F282</f>
        <v>0.51479124073544247</v>
      </c>
      <c r="G282">
        <f>regression!G282</f>
        <v>0.53820000000000001</v>
      </c>
      <c r="H282">
        <f>regression!H282</f>
        <v>3.7829999999999999</v>
      </c>
      <c r="I282">
        <f t="shared" si="12"/>
        <v>0.20522967925105917</v>
      </c>
      <c r="J282">
        <f t="shared" si="10"/>
        <v>0.62151081057714896</v>
      </c>
      <c r="K282">
        <f t="shared" si="11"/>
        <v>0.57282515299832792</v>
      </c>
    </row>
    <row r="283" spans="1:11" x14ac:dyDescent="0.25">
      <c r="A283">
        <f>regression!A283</f>
        <v>2009</v>
      </c>
      <c r="B283">
        <f>regression!B283</f>
        <v>405</v>
      </c>
      <c r="C283" t="str">
        <f>regression!C283</f>
        <v>Media</v>
      </c>
      <c r="D283" t="str">
        <f>regression!D283</f>
        <v>Sr. Sec.</v>
      </c>
      <c r="E283">
        <f>regression!E283</f>
        <v>0.67414141379594805</v>
      </c>
      <c r="F283">
        <f>regression!F283</f>
        <v>0.25251668797765114</v>
      </c>
      <c r="G283">
        <f>regression!G283</f>
        <v>0.36450000000000005</v>
      </c>
      <c r="H283">
        <f>regression!H283</f>
        <v>4.1470000000000002</v>
      </c>
      <c r="I283">
        <f t="shared" si="12"/>
        <v>-0.10957682695402358</v>
      </c>
      <c r="J283">
        <f t="shared" si="10"/>
        <v>0.53766568759360367</v>
      </c>
      <c r="K283">
        <f t="shared" si="11"/>
        <v>0.18146788468716257</v>
      </c>
    </row>
    <row r="284" spans="1:11" x14ac:dyDescent="0.25">
      <c r="A284">
        <f>regression!A284</f>
        <v>2009</v>
      </c>
      <c r="B284">
        <f>regression!B284</f>
        <v>406</v>
      </c>
      <c r="C284" t="str">
        <f>regression!C284</f>
        <v>Media</v>
      </c>
      <c r="D284" t="str">
        <f>regression!D284</f>
        <v>Sr. Sub.</v>
      </c>
      <c r="E284">
        <f>regression!E284</f>
        <v>0.74862628505945206</v>
      </c>
      <c r="F284">
        <f>regression!F284</f>
        <v>0.93661450752239472</v>
      </c>
      <c r="G284">
        <f>regression!G284</f>
        <v>0.70330000000000004</v>
      </c>
      <c r="H284">
        <f>regression!H284</f>
        <v>4.1470000000000002</v>
      </c>
      <c r="I284">
        <f t="shared" si="12"/>
        <v>8.3331487919996158E-2</v>
      </c>
      <c r="J284">
        <f t="shared" si="10"/>
        <v>0.75636119277848601</v>
      </c>
      <c r="K284">
        <f t="shared" si="11"/>
        <v>0.92324032762619423</v>
      </c>
    </row>
    <row r="285" spans="1:11" x14ac:dyDescent="0.25">
      <c r="A285">
        <f>regression!A285</f>
        <v>2009</v>
      </c>
      <c r="B285">
        <f>regression!B285</f>
        <v>407</v>
      </c>
      <c r="C285" t="str">
        <f>regression!C285</f>
        <v>Media</v>
      </c>
      <c r="D285" t="str">
        <f>regression!D285</f>
        <v>Sr. Sub.</v>
      </c>
      <c r="E285">
        <f>regression!E285</f>
        <v>0.89202999738395217</v>
      </c>
      <c r="F285">
        <f>regression!F285</f>
        <v>0.38679686313942307</v>
      </c>
      <c r="G285">
        <f>regression!G285</f>
        <v>0.70330000000000004</v>
      </c>
      <c r="H285">
        <f>regression!H285</f>
        <v>4.1470000000000002</v>
      </c>
      <c r="I285">
        <f t="shared" si="12"/>
        <v>0.57584118420456853</v>
      </c>
      <c r="J285">
        <f t="shared" si="10"/>
        <v>0.58059298527577008</v>
      </c>
      <c r="K285">
        <f t="shared" si="11"/>
        <v>0.87457868900651059</v>
      </c>
    </row>
    <row r="286" spans="1:11" x14ac:dyDescent="0.25">
      <c r="A286">
        <f>regression!A286</f>
        <v>2009</v>
      </c>
      <c r="B286">
        <f>regression!B286</f>
        <v>410</v>
      </c>
      <c r="C286" t="str">
        <f>regression!C286</f>
        <v>Retail</v>
      </c>
      <c r="D286" t="str">
        <f>regression!D286</f>
        <v>Sr. Unsec.</v>
      </c>
      <c r="E286">
        <f>regression!E286</f>
        <v>0.79821458527684208</v>
      </c>
      <c r="F286">
        <f>regression!F286</f>
        <v>0.53537654777010557</v>
      </c>
      <c r="G286">
        <f>regression!G286</f>
        <v>0.53820000000000001</v>
      </c>
      <c r="H286">
        <f>regression!H286</f>
        <v>2.2469999999999999</v>
      </c>
      <c r="I286">
        <f t="shared" si="12"/>
        <v>0.22777317577929088</v>
      </c>
      <c r="J286">
        <f t="shared" si="10"/>
        <v>0.62809161524091406</v>
      </c>
      <c r="K286">
        <f t="shared" si="11"/>
        <v>0.52188183680822731</v>
      </c>
    </row>
    <row r="287" spans="1:11" x14ac:dyDescent="0.25">
      <c r="A287">
        <f>regression!A287</f>
        <v>2009</v>
      </c>
      <c r="B287">
        <f>regression!B287</f>
        <v>411</v>
      </c>
      <c r="C287" t="str">
        <f>regression!C287</f>
        <v>Transp</v>
      </c>
      <c r="D287" t="str">
        <f>regression!D287</f>
        <v>Sr. Unsec.</v>
      </c>
      <c r="E287">
        <f>regression!E287</f>
        <v>0.70047562533318997</v>
      </c>
      <c r="F287">
        <f>regression!F287</f>
        <v>0.78914397449979667</v>
      </c>
      <c r="G287">
        <f>regression!G287</f>
        <v>0.53820000000000001</v>
      </c>
      <c r="H287">
        <f>regression!H287</f>
        <v>2.9630000000000001</v>
      </c>
      <c r="I287">
        <f t="shared" si="12"/>
        <v>-4.3794545388397797E-2</v>
      </c>
      <c r="J287">
        <f t="shared" si="10"/>
        <v>0.70921714144862857</v>
      </c>
      <c r="K287">
        <f t="shared" si="11"/>
        <v>0.59587413394919186</v>
      </c>
    </row>
    <row r="288" spans="1:11" x14ac:dyDescent="0.25">
      <c r="A288">
        <f>regression!A288</f>
        <v>2009</v>
      </c>
      <c r="B288">
        <f>regression!B288</f>
        <v>412</v>
      </c>
      <c r="C288" t="str">
        <f>regression!C288</f>
        <v>Cap Ind</v>
      </c>
      <c r="D288" t="str">
        <f>regression!D288</f>
        <v>Sub.</v>
      </c>
      <c r="E288">
        <f>regression!E288</f>
        <v>0.82939570184707645</v>
      </c>
      <c r="F288">
        <f>regression!F288</f>
        <v>0.24369102342038579</v>
      </c>
      <c r="G288">
        <f>regression!G288</f>
        <v>0.71150000000000002</v>
      </c>
      <c r="H288">
        <f>regression!H288</f>
        <v>3.0710000000000002</v>
      </c>
      <c r="I288">
        <f t="shared" si="12"/>
        <v>0.32916451736094626</v>
      </c>
      <c r="J288">
        <f t="shared" ref="J288:J318" si="13">oostrend(E$2:E$318,F$2:F$318,F288:H288,A$2:A$318,A288)</f>
        <v>0.53484425897067966</v>
      </c>
      <c r="K288">
        <f t="shared" ref="K288:K318" si="14">BETAINV(NORMSDIST(oostrend(I$2:I$318,F$2:H$318,F288:H288,A$2:A$318,A288)),N$14,N$15)</f>
        <v>0.84742502375537676</v>
      </c>
    </row>
    <row r="289" spans="1:11" x14ac:dyDescent="0.25">
      <c r="A289">
        <f>regression!A289</f>
        <v>2009</v>
      </c>
      <c r="B289">
        <f>regression!B289</f>
        <v>413</v>
      </c>
      <c r="C289" t="str">
        <f>regression!C289</f>
        <v>Media</v>
      </c>
      <c r="D289" t="str">
        <f>regression!D289</f>
        <v>Sr. Unsec.</v>
      </c>
      <c r="E289">
        <f>regression!E289</f>
        <v>0.93302867408394818</v>
      </c>
      <c r="F289">
        <f>regression!F289</f>
        <v>0.54617077839772732</v>
      </c>
      <c r="G289">
        <f>regression!G289</f>
        <v>0.53820000000000001</v>
      </c>
      <c r="H289">
        <f>regression!H289</f>
        <v>4.1470000000000002</v>
      </c>
      <c r="I289">
        <f t="shared" si="12"/>
        <v>0.79937077261119527</v>
      </c>
      <c r="J289">
        <f t="shared" si="13"/>
        <v>0.63154236402675412</v>
      </c>
      <c r="K289">
        <f t="shared" si="14"/>
        <v>0.59165974897366147</v>
      </c>
    </row>
    <row r="290" spans="1:11" x14ac:dyDescent="0.25">
      <c r="A290">
        <f>regression!A290</f>
        <v>2009</v>
      </c>
      <c r="B290">
        <f>regression!B290</f>
        <v>414</v>
      </c>
      <c r="C290" t="str">
        <f>regression!C290</f>
        <v>Media</v>
      </c>
      <c r="D290" t="str">
        <f>regression!D290</f>
        <v>Sr. Unsec.</v>
      </c>
      <c r="E290">
        <f>regression!E290</f>
        <v>0.86114298671007161</v>
      </c>
      <c r="F290">
        <f>regression!F290</f>
        <v>0.42958320573077252</v>
      </c>
      <c r="G290">
        <f>regression!G290</f>
        <v>0.53820000000000001</v>
      </c>
      <c r="H290">
        <f>regression!H290</f>
        <v>4.1470000000000002</v>
      </c>
      <c r="I290">
        <f t="shared" si="12"/>
        <v>0.4449485123220458</v>
      </c>
      <c r="J290">
        <f t="shared" si="13"/>
        <v>0.59427111805253541</v>
      </c>
      <c r="K290">
        <f t="shared" si="14"/>
        <v>0.56951313528017455</v>
      </c>
    </row>
    <row r="291" spans="1:11" x14ac:dyDescent="0.25">
      <c r="A291">
        <f>regression!A291</f>
        <v>2009</v>
      </c>
      <c r="B291">
        <f>regression!B291</f>
        <v>415</v>
      </c>
      <c r="C291" t="str">
        <f>regression!C291</f>
        <v>Retail</v>
      </c>
      <c r="D291" t="str">
        <f>regression!D291</f>
        <v>Sr. Sub.</v>
      </c>
      <c r="E291">
        <f>regression!E291</f>
        <v>0.67394284448921682</v>
      </c>
      <c r="F291">
        <f>regression!F291</f>
        <v>0.5834591548917909</v>
      </c>
      <c r="G291">
        <f>regression!G291</f>
        <v>0.70330000000000004</v>
      </c>
      <c r="H291">
        <f>regression!H291</f>
        <v>2.2469999999999999</v>
      </c>
      <c r="I291">
        <f t="shared" si="12"/>
        <v>-0.11006485948121081</v>
      </c>
      <c r="J291">
        <f t="shared" si="13"/>
        <v>0.64346288197303303</v>
      </c>
      <c r="K291">
        <f t="shared" si="14"/>
        <v>0.85745443884220318</v>
      </c>
    </row>
    <row r="292" spans="1:11" x14ac:dyDescent="0.25">
      <c r="A292">
        <f>regression!A292</f>
        <v>2009</v>
      </c>
      <c r="B292">
        <f>regression!B292</f>
        <v>416</v>
      </c>
      <c r="C292" t="str">
        <f>regression!C292</f>
        <v>Retail</v>
      </c>
      <c r="D292" t="str">
        <f>regression!D292</f>
        <v>Sr. Sec.</v>
      </c>
      <c r="E292">
        <f>regression!E292</f>
        <v>0.90460531538724898</v>
      </c>
      <c r="F292">
        <f>regression!F292</f>
        <v>0.35115993600084372</v>
      </c>
      <c r="G292">
        <f>regression!G292</f>
        <v>0.36450000000000005</v>
      </c>
      <c r="H292">
        <f>regression!H292</f>
        <v>2.2469999999999999</v>
      </c>
      <c r="I292">
        <f t="shared" si="12"/>
        <v>0.63664097999325953</v>
      </c>
      <c r="J292">
        <f t="shared" si="13"/>
        <v>0.56920041017737999</v>
      </c>
      <c r="K292">
        <f t="shared" si="14"/>
        <v>0.15206919933730378</v>
      </c>
    </row>
    <row r="293" spans="1:11" x14ac:dyDescent="0.25">
      <c r="A293">
        <f>regression!A293</f>
        <v>2009</v>
      </c>
      <c r="B293">
        <f>regression!B293</f>
        <v>416</v>
      </c>
      <c r="C293" t="str">
        <f>regression!C293</f>
        <v>Retail</v>
      </c>
      <c r="D293" t="str">
        <f>regression!D293</f>
        <v>Sr. Sub.</v>
      </c>
      <c r="E293">
        <f>regression!E293</f>
        <v>0.97812757903814318</v>
      </c>
      <c r="F293">
        <f>regression!F293</f>
        <v>0.35115993600084372</v>
      </c>
      <c r="G293">
        <f>regression!G293</f>
        <v>0.70330000000000004</v>
      </c>
      <c r="H293">
        <f>regression!H293</f>
        <v>2.2469999999999999</v>
      </c>
      <c r="I293">
        <f t="shared" si="12"/>
        <v>1.2367535403384691</v>
      </c>
      <c r="J293">
        <f t="shared" si="13"/>
        <v>0.56920041017737999</v>
      </c>
      <c r="K293">
        <f t="shared" si="14"/>
        <v>0.82952412104438278</v>
      </c>
    </row>
    <row r="294" spans="1:11" x14ac:dyDescent="0.25">
      <c r="A294">
        <f>regression!A294</f>
        <v>2009</v>
      </c>
      <c r="B294">
        <f>regression!B294</f>
        <v>417</v>
      </c>
      <c r="C294" t="str">
        <f>regression!C294</f>
        <v>Transp</v>
      </c>
      <c r="D294" t="str">
        <f>regression!D294</f>
        <v>Sr. Sub.</v>
      </c>
      <c r="E294">
        <f>regression!E294</f>
        <v>0.66493259435892105</v>
      </c>
      <c r="F294">
        <f>regression!F294</f>
        <v>0.81180396797977517</v>
      </c>
      <c r="G294">
        <f>regression!G294</f>
        <v>0.70330000000000004</v>
      </c>
      <c r="H294">
        <f>regression!H294</f>
        <v>2.9630000000000001</v>
      </c>
      <c r="I294">
        <f t="shared" si="12"/>
        <v>-0.13209699385164539</v>
      </c>
      <c r="J294">
        <f t="shared" si="13"/>
        <v>0.71646119131987063</v>
      </c>
      <c r="K294">
        <f t="shared" si="14"/>
        <v>0.89465082779176031</v>
      </c>
    </row>
    <row r="295" spans="1:11" x14ac:dyDescent="0.25">
      <c r="A295">
        <f>regression!A295</f>
        <v>2009</v>
      </c>
      <c r="B295">
        <f>regression!B295</f>
        <v>420</v>
      </c>
      <c r="C295" t="str">
        <f>regression!C295</f>
        <v>Cons G</v>
      </c>
      <c r="D295" t="str">
        <f>regression!D295</f>
        <v>Sr. Sub.</v>
      </c>
      <c r="E295">
        <f>regression!E295</f>
        <v>0.72005828959703444</v>
      </c>
      <c r="F295">
        <f>regression!F295</f>
        <v>0.57924094749792743</v>
      </c>
      <c r="G295">
        <f>regression!G295</f>
        <v>0.70330000000000004</v>
      </c>
      <c r="H295">
        <f>regression!H295</f>
        <v>3.7829999999999999</v>
      </c>
      <c r="I295">
        <f t="shared" si="12"/>
        <v>6.6904426661860156E-3</v>
      </c>
      <c r="J295">
        <f t="shared" si="13"/>
        <v>0.64211438623072892</v>
      </c>
      <c r="K295">
        <f t="shared" si="14"/>
        <v>0.88710497491199858</v>
      </c>
    </row>
    <row r="296" spans="1:11" x14ac:dyDescent="0.25">
      <c r="A296">
        <f>regression!A296</f>
        <v>2009</v>
      </c>
      <c r="B296">
        <f>regression!B296</f>
        <v>421</v>
      </c>
      <c r="C296" t="str">
        <f>regression!C296</f>
        <v>Energy</v>
      </c>
      <c r="D296" t="str">
        <f>regression!D296</f>
        <v>Sr. Unsec.</v>
      </c>
      <c r="E296">
        <f>regression!E296</f>
        <v>0.39594857270240791</v>
      </c>
      <c r="F296">
        <f>regression!F296</f>
        <v>0.23510426518982808</v>
      </c>
      <c r="G296">
        <f>regression!G296</f>
        <v>0.53820000000000001</v>
      </c>
      <c r="H296">
        <f>regression!H296</f>
        <v>1.835</v>
      </c>
      <c r="I296">
        <f t="shared" si="12"/>
        <v>-0.75278349712343129</v>
      </c>
      <c r="J296">
        <f t="shared" si="13"/>
        <v>0.53209920500985575</v>
      </c>
      <c r="K296">
        <f t="shared" si="14"/>
        <v>0.44965286734191035</v>
      </c>
    </row>
    <row r="297" spans="1:11" x14ac:dyDescent="0.25">
      <c r="A297">
        <f>regression!A297</f>
        <v>2009</v>
      </c>
      <c r="B297">
        <f>regression!B297</f>
        <v>422</v>
      </c>
      <c r="C297" t="str">
        <f>regression!C297</f>
        <v>Cons G</v>
      </c>
      <c r="D297" t="str">
        <f>regression!D297</f>
        <v>Sr. Sub.</v>
      </c>
      <c r="E297">
        <f>regression!E297</f>
        <v>0.97144811509847639</v>
      </c>
      <c r="F297">
        <f>regression!F297</f>
        <v>0.40272134639530943</v>
      </c>
      <c r="G297">
        <f>regression!G297</f>
        <v>0.70330000000000004</v>
      </c>
      <c r="H297">
        <f>regression!H297</f>
        <v>3.7829999999999999</v>
      </c>
      <c r="I297">
        <f t="shared" si="12"/>
        <v>1.1410267461890511</v>
      </c>
      <c r="J297">
        <f t="shared" si="13"/>
        <v>0.58568379657637015</v>
      </c>
      <c r="K297">
        <f t="shared" si="14"/>
        <v>0.86909290520843197</v>
      </c>
    </row>
    <row r="298" spans="1:11" x14ac:dyDescent="0.25">
      <c r="A298">
        <f>regression!A298</f>
        <v>2009</v>
      </c>
      <c r="B298">
        <f>regression!B298</f>
        <v>422</v>
      </c>
      <c r="C298" t="str">
        <f>regression!C298</f>
        <v>Cons G</v>
      </c>
      <c r="D298" t="str">
        <f>regression!D298</f>
        <v>Sub.</v>
      </c>
      <c r="E298">
        <f>regression!E298</f>
        <v>0.99</v>
      </c>
      <c r="F298">
        <f>regression!F298</f>
        <v>0.40272134639530943</v>
      </c>
      <c r="G298">
        <f>regression!G298</f>
        <v>0.71150000000000002</v>
      </c>
      <c r="H298">
        <f>regression!H298</f>
        <v>3.7829999999999999</v>
      </c>
      <c r="I298">
        <f t="shared" si="12"/>
        <v>1.4954060676963419</v>
      </c>
      <c r="J298">
        <f t="shared" si="13"/>
        <v>0.58568379657637015</v>
      </c>
      <c r="K298">
        <f t="shared" si="14"/>
        <v>0.8794898578209257</v>
      </c>
    </row>
    <row r="299" spans="1:11" x14ac:dyDescent="0.25">
      <c r="A299">
        <f>regression!A299</f>
        <v>2009</v>
      </c>
      <c r="B299">
        <f>regression!B299</f>
        <v>424</v>
      </c>
      <c r="C299" t="str">
        <f>regression!C299</f>
        <v>Tech</v>
      </c>
      <c r="D299" t="str">
        <f>regression!D299</f>
        <v>Sr. Sec.</v>
      </c>
      <c r="E299">
        <f>regression!E299</f>
        <v>0.32902808469533928</v>
      </c>
      <c r="F299">
        <f>regression!F299</f>
        <v>0.42056816169763911</v>
      </c>
      <c r="G299">
        <f>regression!G299</f>
        <v>0.36450000000000005</v>
      </c>
      <c r="H299">
        <f>regression!H299</f>
        <v>1.1639999999999999</v>
      </c>
      <c r="I299">
        <f t="shared" si="12"/>
        <v>-0.91673699630604133</v>
      </c>
      <c r="J299">
        <f t="shared" si="13"/>
        <v>0.59138914773664975</v>
      </c>
      <c r="K299">
        <f t="shared" si="14"/>
        <v>0.13820338073654884</v>
      </c>
    </row>
    <row r="300" spans="1:11" x14ac:dyDescent="0.25">
      <c r="A300">
        <f>regression!A300</f>
        <v>2009</v>
      </c>
      <c r="B300">
        <f>regression!B300</f>
        <v>425</v>
      </c>
      <c r="C300" t="str">
        <f>regression!C300</f>
        <v>Transp</v>
      </c>
      <c r="D300" t="str">
        <f>regression!D300</f>
        <v>Sr. Sub.</v>
      </c>
      <c r="E300">
        <f>regression!E300</f>
        <v>0.83681874606609341</v>
      </c>
      <c r="F300">
        <f>regression!F300</f>
        <v>0.45937742314148589</v>
      </c>
      <c r="G300">
        <f>regression!G300</f>
        <v>0.70330000000000004</v>
      </c>
      <c r="H300">
        <f>regression!H300</f>
        <v>2.9630000000000001</v>
      </c>
      <c r="I300">
        <f t="shared" si="12"/>
        <v>0.35492555195191694</v>
      </c>
      <c r="J300">
        <f t="shared" si="13"/>
        <v>0.6037958691072316</v>
      </c>
      <c r="K300">
        <f t="shared" si="14"/>
        <v>0.8585128335430805</v>
      </c>
    </row>
    <row r="301" spans="1:11" x14ac:dyDescent="0.25">
      <c r="A301">
        <f>regression!A301</f>
        <v>2009</v>
      </c>
      <c r="B301">
        <f>regression!B301</f>
        <v>426</v>
      </c>
      <c r="C301" t="str">
        <f>regression!C301</f>
        <v>Media</v>
      </c>
      <c r="D301" t="str">
        <f>regression!D301</f>
        <v>Sr. Sub.</v>
      </c>
      <c r="E301">
        <f>regression!E301</f>
        <v>0.94174716738641262</v>
      </c>
      <c r="F301">
        <f>regression!F301</f>
        <v>0.22370268298926882</v>
      </c>
      <c r="G301">
        <f>regression!G301</f>
        <v>0.70330000000000004</v>
      </c>
      <c r="H301">
        <f>regression!H301</f>
        <v>4.1470000000000002</v>
      </c>
      <c r="I301">
        <f t="shared" si="12"/>
        <v>0.85965637295189545</v>
      </c>
      <c r="J301">
        <f t="shared" si="13"/>
        <v>0.52845429530831978</v>
      </c>
      <c r="K301">
        <f t="shared" si="14"/>
        <v>0.85681135546268783</v>
      </c>
    </row>
    <row r="302" spans="1:11" x14ac:dyDescent="0.25">
      <c r="A302">
        <f>regression!A302</f>
        <v>2009</v>
      </c>
      <c r="B302">
        <f>regression!B302</f>
        <v>427</v>
      </c>
      <c r="C302" t="str">
        <f>regression!C302</f>
        <v>Cap Ind</v>
      </c>
      <c r="D302" t="str">
        <f>regression!D302</f>
        <v>Sr. Unsec.</v>
      </c>
      <c r="E302">
        <f>regression!E302</f>
        <v>0.81332003553509713</v>
      </c>
      <c r="F302">
        <f>regression!F302</f>
        <v>0.33598906432431858</v>
      </c>
      <c r="G302">
        <f>regression!G302</f>
        <v>0.53820000000000001</v>
      </c>
      <c r="H302">
        <f>regression!H302</f>
        <v>3.0710000000000002</v>
      </c>
      <c r="I302">
        <f t="shared" si="12"/>
        <v>0.27563353082587955</v>
      </c>
      <c r="J302">
        <f t="shared" si="13"/>
        <v>0.56435051685715176</v>
      </c>
      <c r="K302">
        <f t="shared" si="14"/>
        <v>0.5130641461434573</v>
      </c>
    </row>
    <row r="303" spans="1:11" x14ac:dyDescent="0.25">
      <c r="A303">
        <f>regression!A303</f>
        <v>2009</v>
      </c>
      <c r="B303">
        <f>regression!B303</f>
        <v>429</v>
      </c>
      <c r="C303" t="str">
        <f>regression!C303</f>
        <v>Tech</v>
      </c>
      <c r="D303" t="str">
        <f>regression!D303</f>
        <v>Sr. Sec.</v>
      </c>
      <c r="E303">
        <f>regression!E303</f>
        <v>0.60861715112984183</v>
      </c>
      <c r="F303">
        <f>regression!F303</f>
        <v>0.91617196132059298</v>
      </c>
      <c r="G303">
        <f>regression!G303</f>
        <v>0.36450000000000005</v>
      </c>
      <c r="H303">
        <f>regression!H303</f>
        <v>1.1639999999999999</v>
      </c>
      <c r="I303">
        <f t="shared" si="12"/>
        <v>-0.26571959988075677</v>
      </c>
      <c r="J303">
        <f t="shared" si="13"/>
        <v>0.74982602654766317</v>
      </c>
      <c r="K303">
        <f t="shared" si="14"/>
        <v>0.19491910305443166</v>
      </c>
    </row>
    <row r="304" spans="1:11" x14ac:dyDescent="0.25">
      <c r="A304">
        <f>regression!A304</f>
        <v>2009</v>
      </c>
      <c r="B304">
        <f>regression!B304</f>
        <v>430</v>
      </c>
      <c r="C304" t="str">
        <f>regression!C304</f>
        <v>Transp</v>
      </c>
      <c r="D304" t="str">
        <f>regression!D304</f>
        <v>Sr. Unsec.</v>
      </c>
      <c r="E304">
        <f>regression!E304</f>
        <v>0.84883729082107551</v>
      </c>
      <c r="F304">
        <f>regression!F304</f>
        <v>0.21785293847142356</v>
      </c>
      <c r="G304">
        <f>regression!G304</f>
        <v>0.53820000000000001</v>
      </c>
      <c r="H304">
        <f>regression!H304</f>
        <v>2.9630000000000001</v>
      </c>
      <c r="I304">
        <f t="shared" si="12"/>
        <v>0.39824190544533244</v>
      </c>
      <c r="J304">
        <f t="shared" si="13"/>
        <v>0.5265842223509406</v>
      </c>
      <c r="K304">
        <f t="shared" si="14"/>
        <v>0.48648844531204832</v>
      </c>
    </row>
    <row r="305" spans="1:11" x14ac:dyDescent="0.25">
      <c r="A305">
        <f>regression!A305</f>
        <v>2009</v>
      </c>
      <c r="B305">
        <f>regression!B305</f>
        <v>431</v>
      </c>
      <c r="C305" t="str">
        <f>regression!C305</f>
        <v>Retail</v>
      </c>
      <c r="D305" t="str">
        <f>regression!D305</f>
        <v>Sr. Unsec.</v>
      </c>
      <c r="E305">
        <f>regression!E305</f>
        <v>0.93340069661736491</v>
      </c>
      <c r="F305">
        <f>regression!F305</f>
        <v>0.60324383641744472</v>
      </c>
      <c r="G305">
        <f>regression!G305</f>
        <v>0.53820000000000001</v>
      </c>
      <c r="H305">
        <f>regression!H305</f>
        <v>2.2469999999999999</v>
      </c>
      <c r="I305">
        <f t="shared" si="12"/>
        <v>0.8018172642084388</v>
      </c>
      <c r="J305">
        <f t="shared" si="13"/>
        <v>0.6497877390293737</v>
      </c>
      <c r="K305">
        <f t="shared" si="14"/>
        <v>0.53493631965075805</v>
      </c>
    </row>
    <row r="306" spans="1:11" x14ac:dyDescent="0.25">
      <c r="A306">
        <f>regression!A306</f>
        <v>2009</v>
      </c>
      <c r="B306">
        <f>regression!B306</f>
        <v>432</v>
      </c>
      <c r="C306" t="str">
        <f>regression!C306</f>
        <v>Media</v>
      </c>
      <c r="D306" t="str">
        <f>regression!D306</f>
        <v>Sr. Unsec.</v>
      </c>
      <c r="E306">
        <f>regression!E306</f>
        <v>0.98656320883512494</v>
      </c>
      <c r="F306">
        <f>regression!F306</f>
        <v>0.23844340166327446</v>
      </c>
      <c r="G306">
        <f>regression!G306</f>
        <v>0.53820000000000001</v>
      </c>
      <c r="H306">
        <f>regression!H306</f>
        <v>4.1470000000000002</v>
      </c>
      <c r="I306">
        <f t="shared" si="12"/>
        <v>1.4013089979322366</v>
      </c>
      <c r="J306">
        <f t="shared" si="13"/>
        <v>0.53316667535850792</v>
      </c>
      <c r="K306">
        <f t="shared" si="14"/>
        <v>0.53287780119329464</v>
      </c>
    </row>
    <row r="307" spans="1:11" x14ac:dyDescent="0.25">
      <c r="A307">
        <f>regression!A307</f>
        <v>2009</v>
      </c>
      <c r="B307">
        <f>regression!B307</f>
        <v>433</v>
      </c>
      <c r="C307" t="str">
        <f>regression!C307</f>
        <v>Cons G</v>
      </c>
      <c r="D307" t="str">
        <f>regression!D307</f>
        <v>Sr. Unsec.</v>
      </c>
      <c r="E307">
        <f>regression!E307</f>
        <v>0.22312359634160994</v>
      </c>
      <c r="F307">
        <f>regression!F307</f>
        <v>0.19352768757885314</v>
      </c>
      <c r="G307">
        <f>regression!G307</f>
        <v>0.53820000000000001</v>
      </c>
      <c r="H307">
        <f>regression!H307</f>
        <v>3.7829999999999999</v>
      </c>
      <c r="I307">
        <f t="shared" si="12"/>
        <v>-1.2127535902034476</v>
      </c>
      <c r="J307">
        <f t="shared" si="13"/>
        <v>0.51880781540925502</v>
      </c>
      <c r="K307">
        <f t="shared" si="14"/>
        <v>0.51118435414147834</v>
      </c>
    </row>
    <row r="308" spans="1:11" x14ac:dyDescent="0.25">
      <c r="A308">
        <f>regression!A308</f>
        <v>2009</v>
      </c>
      <c r="B308">
        <f>regression!B308</f>
        <v>433</v>
      </c>
      <c r="C308" t="str">
        <f>regression!C308</f>
        <v>Cons G</v>
      </c>
      <c r="D308" t="str">
        <f>regression!D308</f>
        <v>Sr. Sub.</v>
      </c>
      <c r="E308">
        <f>regression!E308</f>
        <v>0.56960786878764624</v>
      </c>
      <c r="F308">
        <f>regression!F308</f>
        <v>0.19352768757885314</v>
      </c>
      <c r="G308">
        <f>regression!G308</f>
        <v>0.70330000000000004</v>
      </c>
      <c r="H308">
        <f>regression!H308</f>
        <v>3.7829999999999999</v>
      </c>
      <c r="I308">
        <f t="shared" si="12"/>
        <v>-0.35543265044021616</v>
      </c>
      <c r="J308">
        <f t="shared" si="13"/>
        <v>0.51880781540925502</v>
      </c>
      <c r="K308">
        <f t="shared" si="14"/>
        <v>0.84538093262733016</v>
      </c>
    </row>
    <row r="309" spans="1:11" x14ac:dyDescent="0.25">
      <c r="A309">
        <f>regression!A309</f>
        <v>2009</v>
      </c>
      <c r="B309">
        <f>regression!B309</f>
        <v>434</v>
      </c>
      <c r="C309" t="str">
        <f>regression!C309</f>
        <v>Media</v>
      </c>
      <c r="D309" t="str">
        <f>regression!D309</f>
        <v>Sr. Sub.</v>
      </c>
      <c r="E309">
        <f>regression!E309</f>
        <v>0.71347668892145166</v>
      </c>
      <c r="F309">
        <f>regression!F309</f>
        <v>0.80560474625843836</v>
      </c>
      <c r="G309">
        <f>regression!G309</f>
        <v>0.70330000000000004</v>
      </c>
      <c r="H309">
        <f>regression!H309</f>
        <v>4.1470000000000002</v>
      </c>
      <c r="I309">
        <f t="shared" si="12"/>
        <v>-1.044439386232596E-2</v>
      </c>
      <c r="J309">
        <f t="shared" si="13"/>
        <v>0.71447939589914689</v>
      </c>
      <c r="K309">
        <f t="shared" si="14"/>
        <v>0.91316529495191723</v>
      </c>
    </row>
    <row r="310" spans="1:11" x14ac:dyDescent="0.25">
      <c r="A310">
        <f>regression!A310</f>
        <v>2009</v>
      </c>
      <c r="B310">
        <f>regression!B310</f>
        <v>435</v>
      </c>
      <c r="C310" t="str">
        <f>regression!C310</f>
        <v>Media</v>
      </c>
      <c r="D310" t="str">
        <f>regression!D310</f>
        <v>Sr. Unsec.</v>
      </c>
      <c r="E310">
        <f>regression!E310</f>
        <v>0.66546670871973035</v>
      </c>
      <c r="F310">
        <f>regression!F310</f>
        <v>0.33545556635133167</v>
      </c>
      <c r="G310">
        <f>regression!G310</f>
        <v>0.53820000000000001</v>
      </c>
      <c r="H310">
        <f>regression!H310</f>
        <v>4.1470000000000002</v>
      </c>
      <c r="I310">
        <f t="shared" si="12"/>
        <v>-0.1307969501967069</v>
      </c>
      <c r="J310">
        <f t="shared" si="13"/>
        <v>0.56417996579649332</v>
      </c>
      <c r="K310">
        <f t="shared" si="14"/>
        <v>0.55150828043462563</v>
      </c>
    </row>
    <row r="311" spans="1:11" x14ac:dyDescent="0.25">
      <c r="A311">
        <f>regression!A311</f>
        <v>2009</v>
      </c>
      <c r="B311">
        <f>regression!B311</f>
        <v>436</v>
      </c>
      <c r="C311" t="str">
        <f>regression!C311</f>
        <v>Retail</v>
      </c>
      <c r="D311" t="str">
        <f>regression!D311</f>
        <v>Sr. Unsec.</v>
      </c>
      <c r="E311">
        <f>regression!E311</f>
        <v>0.40580793209373955</v>
      </c>
      <c r="F311">
        <f>regression!F311</f>
        <v>0.44963105555271604</v>
      </c>
      <c r="G311">
        <f>regression!G311</f>
        <v>0.53820000000000001</v>
      </c>
      <c r="H311">
        <f>regression!H311</f>
        <v>2.2469999999999999</v>
      </c>
      <c r="I311">
        <f t="shared" si="12"/>
        <v>-0.72949676424683429</v>
      </c>
      <c r="J311">
        <f t="shared" si="13"/>
        <v>0.60068010594786059</v>
      </c>
      <c r="K311">
        <f t="shared" si="14"/>
        <v>0.50538330097666773</v>
      </c>
    </row>
    <row r="312" spans="1:11" x14ac:dyDescent="0.25">
      <c r="A312">
        <f>regression!A312</f>
        <v>2009</v>
      </c>
      <c r="B312">
        <f>regression!B312</f>
        <v>437</v>
      </c>
      <c r="C312" t="str">
        <f>regression!C312</f>
        <v>Tech</v>
      </c>
      <c r="D312" t="str">
        <f>regression!D312</f>
        <v>Sr. Unsec.</v>
      </c>
      <c r="E312">
        <f>regression!E312</f>
        <v>0.27363625454902651</v>
      </c>
      <c r="F312">
        <f>regression!F312</f>
        <v>0.56244521561048766</v>
      </c>
      <c r="G312">
        <f>regression!G312</f>
        <v>0.53820000000000001</v>
      </c>
      <c r="H312">
        <f>regression!H312</f>
        <v>1.1639999999999999</v>
      </c>
      <c r="I312">
        <f t="shared" si="12"/>
        <v>-1.0639353121342017</v>
      </c>
      <c r="J312">
        <f t="shared" si="13"/>
        <v>0.63674505020139049</v>
      </c>
      <c r="K312">
        <f t="shared" si="14"/>
        <v>0.48827706081046768</v>
      </c>
    </row>
    <row r="313" spans="1:11" x14ac:dyDescent="0.25">
      <c r="A313">
        <f>regression!A313</f>
        <v>2009</v>
      </c>
      <c r="B313">
        <f>regression!B313</f>
        <v>438</v>
      </c>
      <c r="C313" t="str">
        <f>regression!C313</f>
        <v>Transp</v>
      </c>
      <c r="D313" t="str">
        <f>regression!D313</f>
        <v>Sr. Unsec.</v>
      </c>
      <c r="E313">
        <f>regression!E313</f>
        <v>0.32151876230001464</v>
      </c>
      <c r="F313">
        <f>regression!F313</f>
        <v>0.13149667786033031</v>
      </c>
      <c r="G313">
        <f>regression!G313</f>
        <v>0.53820000000000001</v>
      </c>
      <c r="H313">
        <f>regression!H313</f>
        <v>2.9630000000000001</v>
      </c>
      <c r="I313">
        <f t="shared" si="12"/>
        <v>-0.935954757555993</v>
      </c>
      <c r="J313">
        <f t="shared" si="13"/>
        <v>0.49897745983737407</v>
      </c>
      <c r="K313">
        <f t="shared" si="14"/>
        <v>0.46995214341099645</v>
      </c>
    </row>
    <row r="314" spans="1:11" x14ac:dyDescent="0.25">
      <c r="A314">
        <f>regression!A314</f>
        <v>2009</v>
      </c>
      <c r="B314">
        <f>regression!B314</f>
        <v>439</v>
      </c>
      <c r="C314" t="str">
        <f>regression!C314</f>
        <v>Cons G</v>
      </c>
      <c r="D314" t="str">
        <f>regression!D314</f>
        <v>Sr. Unsec.</v>
      </c>
      <c r="E314">
        <f>regression!E314</f>
        <v>0.99</v>
      </c>
      <c r="F314">
        <f>regression!F314</f>
        <v>0.2703988854062313</v>
      </c>
      <c r="G314">
        <f>regression!G314</f>
        <v>0.53820000000000001</v>
      </c>
      <c r="H314">
        <f>regression!H314</f>
        <v>3.7829999999999999</v>
      </c>
      <c r="I314">
        <f t="shared" si="12"/>
        <v>1.4954060676963419</v>
      </c>
      <c r="J314">
        <f t="shared" si="13"/>
        <v>0.54338234987307366</v>
      </c>
      <c r="K314">
        <f t="shared" si="14"/>
        <v>0.52597617651371875</v>
      </c>
    </row>
    <row r="315" spans="1:11" x14ac:dyDescent="0.25">
      <c r="A315">
        <f>regression!A315</f>
        <v>2009</v>
      </c>
      <c r="B315">
        <f>regression!B315</f>
        <v>439</v>
      </c>
      <c r="C315" t="str">
        <f>regression!C315</f>
        <v>Cons G</v>
      </c>
      <c r="D315" t="str">
        <f>regression!D315</f>
        <v>Sr. Sub.</v>
      </c>
      <c r="E315">
        <f>regression!E315</f>
        <v>0.99</v>
      </c>
      <c r="F315">
        <f>regression!F315</f>
        <v>0.2703988854062313</v>
      </c>
      <c r="G315">
        <f>regression!G315</f>
        <v>0.70330000000000004</v>
      </c>
      <c r="H315">
        <f>regression!H315</f>
        <v>3.7829999999999999</v>
      </c>
      <c r="I315">
        <f t="shared" si="12"/>
        <v>1.4954060676963419</v>
      </c>
      <c r="J315">
        <f t="shared" si="13"/>
        <v>0.54338234987307366</v>
      </c>
      <c r="K315">
        <f t="shared" si="14"/>
        <v>0.85439371967780497</v>
      </c>
    </row>
    <row r="316" spans="1:11" x14ac:dyDescent="0.25">
      <c r="A316">
        <f>regression!A316</f>
        <v>2009</v>
      </c>
      <c r="B316">
        <f>regression!B316</f>
        <v>441</v>
      </c>
      <c r="C316" t="str">
        <f>regression!C316</f>
        <v>Retail</v>
      </c>
      <c r="D316" t="str">
        <f>regression!D316</f>
        <v>Sr. Unsec.</v>
      </c>
      <c r="E316">
        <f>regression!E316</f>
        <v>0.61800208950042723</v>
      </c>
      <c r="F316">
        <f>regression!F316</f>
        <v>0.24225793738965759</v>
      </c>
      <c r="G316">
        <f>regression!G316</f>
        <v>0.53820000000000001</v>
      </c>
      <c r="H316">
        <f>regression!H316</f>
        <v>2.2469999999999999</v>
      </c>
      <c r="I316">
        <f t="shared" si="12"/>
        <v>-0.24385389368889307</v>
      </c>
      <c r="J316">
        <f t="shared" si="13"/>
        <v>0.53438612350450887</v>
      </c>
      <c r="K316">
        <f t="shared" si="14"/>
        <v>0.46562230733510218</v>
      </c>
    </row>
    <row r="317" spans="1:11" x14ac:dyDescent="0.25">
      <c r="A317">
        <f>regression!A317</f>
        <v>2009</v>
      </c>
      <c r="B317">
        <f>regression!B317</f>
        <v>445</v>
      </c>
      <c r="C317" t="str">
        <f>regression!C317</f>
        <v>Cap Ind</v>
      </c>
      <c r="D317" t="str">
        <f>regression!D317</f>
        <v>Sr. Unsec.</v>
      </c>
      <c r="E317">
        <f>regression!E317</f>
        <v>0.90121015389144421</v>
      </c>
      <c r="F317">
        <f>regression!F317</f>
        <v>0.88480253786615271</v>
      </c>
      <c r="G317">
        <f>regression!G317</f>
        <v>0.53820000000000001</v>
      </c>
      <c r="H317">
        <f>regression!H317</f>
        <v>3.0710000000000002</v>
      </c>
      <c r="I317">
        <f t="shared" si="12"/>
        <v>0.61969111496620022</v>
      </c>
      <c r="J317">
        <f t="shared" si="13"/>
        <v>0.73979770645406484</v>
      </c>
      <c r="K317">
        <f t="shared" si="14"/>
        <v>0.61758193257037619</v>
      </c>
    </row>
    <row r="318" spans="1:11" x14ac:dyDescent="0.25">
      <c r="A318">
        <f>regression!A318</f>
        <v>2009</v>
      </c>
      <c r="B318">
        <f>regression!B318</f>
        <v>446</v>
      </c>
      <c r="C318" t="str">
        <f>regression!C318</f>
        <v>Cons G</v>
      </c>
      <c r="D318" t="str">
        <f>regression!D318</f>
        <v>Sr. Sec.</v>
      </c>
      <c r="E318">
        <f>regression!E318</f>
        <v>0.74825554385721682</v>
      </c>
      <c r="F318">
        <f>regression!F318</f>
        <v>0.60745281868200707</v>
      </c>
      <c r="G318">
        <f>regression!G318</f>
        <v>0.36450000000000005</v>
      </c>
      <c r="H318">
        <f>regression!H318</f>
        <v>3.7829999999999999</v>
      </c>
      <c r="I318">
        <f t="shared" si="12"/>
        <v>8.2310730856491571E-2</v>
      </c>
      <c r="J318">
        <f t="shared" si="13"/>
        <v>0.651133285640347</v>
      </c>
      <c r="K318">
        <f t="shared" si="14"/>
        <v>0.21869322964368737</v>
      </c>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building data set</vt:lpstr>
      <vt:lpstr>regression</vt:lpstr>
      <vt:lpstr>transformed reg.</vt:lpstr>
      <vt:lpstr>backtesting_predictions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Emrah Ozpeynirci</dc:creator>
  <cp:lastModifiedBy>Emrah Ozpeynirci</cp:lastModifiedBy>
  <dcterms:created xsi:type="dcterms:W3CDTF">2018-01-24T21:20:51Z</dcterms:created>
  <dcterms:modified xsi:type="dcterms:W3CDTF">2018-01-30T15:20:27Z</dcterms:modified>
</cp:coreProperties>
</file>